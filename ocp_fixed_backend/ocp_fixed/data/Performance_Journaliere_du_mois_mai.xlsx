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62" i="1" l="1"/>
  <c r="AH60" i="1"/>
  <c r="AH59" i="1"/>
  <c r="AH57" i="1"/>
  <c r="AH56" i="1"/>
  <c r="AH58" i="1" s="1"/>
  <c r="AH54" i="1"/>
  <c r="AH53" i="1"/>
  <c r="AH55" i="1" s="1"/>
  <c r="AH51" i="1"/>
  <c r="AH50" i="1"/>
  <c r="AH52" i="1" s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24" i="1" s="1"/>
  <c r="AH32" i="1"/>
  <c r="AH31" i="1"/>
  <c r="AH61" i="1" s="1"/>
  <c r="AH30" i="1"/>
  <c r="AH29" i="1"/>
  <c r="AH28" i="1"/>
  <c r="AH27" i="1"/>
  <c r="AH26" i="1"/>
  <c r="AH25" i="1"/>
  <c r="AH23" i="1"/>
  <c r="AH22" i="1"/>
  <c r="AH21" i="1"/>
  <c r="AH20" i="1"/>
  <c r="AH19" i="1" s="1"/>
  <c r="AH18" i="1"/>
  <c r="AH17" i="1"/>
  <c r="AH16" i="1"/>
  <c r="AH15" i="1"/>
  <c r="AH13" i="1"/>
  <c r="AH14" i="1" s="1"/>
  <c r="AH11" i="1"/>
  <c r="AH10" i="1"/>
  <c r="AH9" i="1"/>
  <c r="AH8" i="1"/>
  <c r="AH7" i="1"/>
  <c r="AH6" i="1"/>
  <c r="AH63" i="1" s="1"/>
  <c r="AH5" i="1"/>
  <c r="AH4" i="1"/>
  <c r="AH12" i="1" s="1"/>
  <c r="D2" i="1"/>
  <c r="E2" i="1" l="1"/>
  <c r="F2" i="1" l="1"/>
  <c r="G2" i="1" l="1"/>
  <c r="H2" i="1" l="1"/>
  <c r="I2" i="1" l="1"/>
  <c r="J2" i="1" l="1"/>
  <c r="K2" i="1" l="1"/>
  <c r="L2" i="1" l="1"/>
  <c r="M2" i="1" l="1"/>
  <c r="N2" i="1" l="1"/>
  <c r="O2" i="1" l="1"/>
  <c r="P2" i="1" l="1"/>
  <c r="Q2" i="1" l="1"/>
  <c r="R2" i="1" l="1"/>
  <c r="S2" i="1" l="1"/>
  <c r="T2" i="1" l="1"/>
  <c r="U2" i="1" l="1"/>
  <c r="V2" i="1" l="1"/>
  <c r="W2" i="1" l="1"/>
  <c r="X2" i="1" l="1"/>
  <c r="Y2" i="1" l="1"/>
  <c r="Z2" i="1" l="1"/>
  <c r="AA2" i="1" l="1"/>
  <c r="AB2" i="1" l="1"/>
  <c r="AC2" i="1" l="1"/>
  <c r="AD2" i="1" l="1"/>
  <c r="AE2" i="1" l="1"/>
  <c r="AF2" i="1" l="1"/>
  <c r="AG2" i="1" l="1"/>
</calcChain>
</file>

<file path=xl/sharedStrings.xml><?xml version="1.0" encoding="utf-8"?>
<sst xmlns="http://schemas.openxmlformats.org/spreadsheetml/2006/main" count="130" uniqueCount="87">
  <si>
    <t>TOTAL</t>
  </si>
  <si>
    <t>Qualité</t>
  </si>
  <si>
    <t>Qualité traitée</t>
  </si>
  <si>
    <t xml:space="preserve">MC </t>
  </si>
  <si>
    <t>MC /MP</t>
  </si>
  <si>
    <t>MP</t>
  </si>
  <si>
    <t>MC</t>
  </si>
  <si>
    <t>MC/MP</t>
  </si>
  <si>
    <t>MP/BG22</t>
  </si>
  <si>
    <t>MC/MP/BG22</t>
  </si>
  <si>
    <t>MC/BG22</t>
  </si>
  <si>
    <t>MC/BG10</t>
  </si>
  <si>
    <t>******</t>
  </si>
  <si>
    <t>*****</t>
  </si>
  <si>
    <t>BG10/MP</t>
  </si>
  <si>
    <t>BG10</t>
  </si>
  <si>
    <t>Produit G10</t>
  </si>
  <si>
    <t>Alimentation par camions (T)</t>
  </si>
  <si>
    <t>stock LF</t>
  </si>
  <si>
    <t>quantité d'eau drainage(m3)</t>
  </si>
  <si>
    <t>Roue pelle TAIM</t>
  </si>
  <si>
    <t>Tonnage G10 + BG10 (T)</t>
  </si>
  <si>
    <t>Tonnage G10 (T)</t>
  </si>
  <si>
    <t>Tonnage BG10 (T)</t>
  </si>
  <si>
    <t>Débit horaire (T/H)</t>
  </si>
  <si>
    <t>Alimentation par chargeuse</t>
  </si>
  <si>
    <t>G10 (T)</t>
  </si>
  <si>
    <t>% G10 Chargeuse</t>
  </si>
  <si>
    <t xml:space="preserve"> BT (T)</t>
  </si>
  <si>
    <t>% BT Chargeuse</t>
  </si>
  <si>
    <t>HM</t>
  </si>
  <si>
    <t>Liaison US-UC</t>
  </si>
  <si>
    <t>Tonnage transporté (T)</t>
  </si>
  <si>
    <t>Tonnage transporté G10 (T)</t>
  </si>
  <si>
    <t>Tonnage transporté MT (T)</t>
  </si>
  <si>
    <t>Débit (T/H)</t>
  </si>
  <si>
    <t>Stockage Local  (T)</t>
  </si>
  <si>
    <t>Production</t>
  </si>
  <si>
    <t>Débit horaire par four (T/H)</t>
  </si>
  <si>
    <t>Débit horaire par four  en MC(T/H)</t>
  </si>
  <si>
    <t>Débit horaire par four en MP (T/H)</t>
  </si>
  <si>
    <t>Débit horaire par four en BG10 (T/H)</t>
  </si>
  <si>
    <t>Tonnage dosage</t>
  </si>
  <si>
    <t>Humidité entrée %</t>
  </si>
  <si>
    <t>Humidité sortie MC %</t>
  </si>
  <si>
    <t>Humidité sortie MP %</t>
  </si>
  <si>
    <t>Humidité sortie BG10 %</t>
  </si>
  <si>
    <t>Production totale</t>
  </si>
  <si>
    <t>Production MC</t>
  </si>
  <si>
    <t>Production MP</t>
  </si>
  <si>
    <t>Production BG10</t>
  </si>
  <si>
    <t>Production BG22</t>
  </si>
  <si>
    <t>Performance</t>
  </si>
  <si>
    <t>HM en MC</t>
  </si>
  <si>
    <t>HM en MP</t>
  </si>
  <si>
    <t>HM en BG10</t>
  </si>
  <si>
    <t>HM en BG22</t>
  </si>
  <si>
    <t>HM Four N°1</t>
  </si>
  <si>
    <t>HM Four N°2</t>
  </si>
  <si>
    <t>HM Four N°3</t>
  </si>
  <si>
    <t>HM Four N°4</t>
  </si>
  <si>
    <t>HM Four N°5</t>
  </si>
  <si>
    <t>HM Four N°6</t>
  </si>
  <si>
    <t>HM Four N°7</t>
  </si>
  <si>
    <t>HM Four N°8</t>
  </si>
  <si>
    <t>Consommation GAZ (Nm3)</t>
  </si>
  <si>
    <t>Tonnage traité gaz</t>
  </si>
  <si>
    <t>Cs Gas (Nm3/T)</t>
  </si>
  <si>
    <t>Consommation gazoline (kg)</t>
  </si>
  <si>
    <t>Tonnage traité gazoline</t>
  </si>
  <si>
    <t>Cs gazoline (kg/T)</t>
  </si>
  <si>
    <t>Consommation Fuel (kg)</t>
  </si>
  <si>
    <t>Tonnage traité fuel</t>
  </si>
  <si>
    <t>Cs Fuel (kg/T)</t>
  </si>
  <si>
    <t xml:space="preserve">Consommation d'énergie (kcal/T) </t>
  </si>
  <si>
    <t>Consommation Electricité (kwh)</t>
  </si>
  <si>
    <t>Cs électricité (Kwh/T)</t>
  </si>
  <si>
    <t>Production UL</t>
  </si>
  <si>
    <t>Ecart  reprise RP3 production UL</t>
  </si>
  <si>
    <t>ven</t>
  </si>
  <si>
    <t>sam.</t>
  </si>
  <si>
    <t>dim.</t>
  </si>
  <si>
    <t>lun.</t>
  </si>
  <si>
    <t>mar.</t>
  </si>
  <si>
    <t>mer.</t>
  </si>
  <si>
    <t>jeu.</t>
  </si>
  <si>
    <t>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</si>
</sst>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5" formatCode="0.0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rgb="FF0070C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0" fillId="2" borderId="1" xfId="0" applyNumberFormat="1" applyFill="1" applyBorder="1" applyAlignment="1">
      <alignment horizontal="center"/>
    </xf>
    <xf numFmtId="1" fontId="4" fillId="3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Protection="1">
      <protection locked="0"/>
    </xf>
    <xf numFmtId="1" fontId="2" fillId="0" borderId="1" xfId="0" applyNumberFormat="1" applyFont="1" applyBorder="1" applyAlignment="1">
      <alignment horizontal="center"/>
    </xf>
    <xf numFmtId="1" fontId="2" fillId="4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" fontId="2" fillId="4" borderId="3" xfId="0" applyNumberFormat="1" applyFont="1" applyFill="1" applyBorder="1" applyAlignment="1" applyProtection="1">
      <alignment horizontal="center"/>
      <protection locked="0"/>
    </xf>
    <xf numFmtId="1" fontId="0" fillId="4" borderId="3" xfId="0" applyNumberFormat="1" applyFill="1" applyBorder="1" applyAlignment="1" applyProtection="1">
      <alignment horizontal="right"/>
      <protection locked="0"/>
    </xf>
    <xf numFmtId="1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center" vertical="center"/>
      <protection locked="0"/>
    </xf>
    <xf numFmtId="1" fontId="4" fillId="3" borderId="4" xfId="0" applyNumberFormat="1" applyFont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" fontId="0" fillId="4" borderId="1" xfId="0" applyNumberFormat="1" applyFill="1" applyBorder="1" applyProtection="1">
      <protection locked="0"/>
    </xf>
    <xf numFmtId="1" fontId="0" fillId="4" borderId="1" xfId="0" applyNumberFormat="1" applyFill="1" applyBorder="1" applyAlignment="1" applyProtection="1">
      <alignment horizontal="center" vertical="top"/>
      <protection locked="0"/>
    </xf>
    <xf numFmtId="1" fontId="0" fillId="4" borderId="1" xfId="0" applyNumberForma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/>
    <xf numFmtId="1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/>
    </xf>
    <xf numFmtId="9" fontId="0" fillId="4" borderId="1" xfId="0" applyNumberFormat="1" applyFill="1" applyBorder="1" applyAlignment="1" applyProtection="1">
      <alignment horizontal="center"/>
      <protection locked="0"/>
    </xf>
    <xf numFmtId="9" fontId="0" fillId="4" borderId="1" xfId="0" applyNumberFormat="1" applyFill="1" applyBorder="1" applyAlignment="1" applyProtection="1">
      <alignment horizontal="right"/>
      <protection locked="0"/>
    </xf>
    <xf numFmtId="9" fontId="2" fillId="4" borderId="1" xfId="0" applyNumberFormat="1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0" fillId="4" borderId="1" xfId="0" applyNumberFormat="1" applyFill="1" applyBorder="1" applyProtection="1"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/>
      <protection locked="0"/>
    </xf>
    <xf numFmtId="2" fontId="2" fillId="4" borderId="1" xfId="0" applyNumberFormat="1" applyFont="1" applyFill="1" applyBorder="1" applyAlignment="1" applyProtection="1">
      <alignment horizontal="center"/>
      <protection locked="0"/>
    </xf>
    <xf numFmtId="43" fontId="2" fillId="0" borderId="1" xfId="1" applyFont="1" applyBorder="1" applyAlignment="1">
      <alignment horizontal="center" vertical="center"/>
    </xf>
    <xf numFmtId="165" fontId="0" fillId="4" borderId="1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Protection="1">
      <protection locked="0"/>
    </xf>
    <xf numFmtId="165" fontId="0" fillId="4" borderId="1" xfId="0" applyNumberFormat="1" applyFill="1" applyBorder="1" applyAlignment="1" applyProtection="1">
      <alignment horizontal="center" vertical="top"/>
      <protection locked="0"/>
    </xf>
    <xf numFmtId="165" fontId="0" fillId="4" borderId="1" xfId="0" applyNumberForma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 vertical="center"/>
      <protection locked="0"/>
    </xf>
    <xf numFmtId="165" fontId="2" fillId="4" borderId="1" xfId="0" applyNumberFormat="1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3" fontId="6" fillId="4" borderId="1" xfId="0" applyNumberFormat="1" applyFont="1" applyFill="1" applyBorder="1" applyAlignment="1">
      <alignment horizontal="center" vertical="center"/>
    </xf>
    <xf numFmtId="0" fontId="0" fillId="2" borderId="8" xfId="0" applyFill="1" applyBorder="1" applyAlignment="1" applyProtection="1">
      <alignment horizontal="center" vertical="center"/>
      <protection locked="0"/>
    </xf>
    <xf numFmtId="43" fontId="0" fillId="4" borderId="1" xfId="1" applyFont="1" applyFill="1" applyBorder="1" applyAlignment="1" applyProtection="1">
      <alignment horizontal="right" indent="1"/>
      <protection locked="0"/>
    </xf>
    <xf numFmtId="2" fontId="0" fillId="4" borderId="1" xfId="0" applyNumberFormat="1" applyFill="1" applyBorder="1" applyAlignment="1" applyProtection="1">
      <alignment horizontal="center" vertical="top"/>
      <protection locked="0"/>
    </xf>
    <xf numFmtId="1" fontId="2" fillId="4" borderId="1" xfId="0" applyNumberFormat="1" applyFont="1" applyFill="1" applyBorder="1" applyAlignment="1">
      <alignment horizontal="center" vertical="top"/>
    </xf>
    <xf numFmtId="1" fontId="2" fillId="4" borderId="1" xfId="0" applyNumberFormat="1" applyFont="1" applyFill="1" applyBorder="1" applyAlignment="1">
      <alignment horizontal="center" vertical="center"/>
    </xf>
    <xf numFmtId="1" fontId="6" fillId="0" borderId="1" xfId="2" applyNumberFormat="1" applyFont="1" applyFill="1" applyBorder="1" applyAlignment="1" applyProtection="1">
      <alignment horizontal="center" vertical="center"/>
    </xf>
    <xf numFmtId="0" fontId="0" fillId="2" borderId="4" xfId="0" applyFill="1" applyBorder="1" applyAlignment="1" applyProtection="1">
      <alignment horizontal="center" vertical="center"/>
      <protection locked="0"/>
    </xf>
    <xf numFmtId="1" fontId="6" fillId="4" borderId="1" xfId="2" applyNumberFormat="1" applyFont="1" applyFill="1" applyBorder="1" applyAlignment="1" applyProtection="1">
      <alignment horizontal="center" vertical="center"/>
    </xf>
    <xf numFmtId="1" fontId="0" fillId="4" borderId="1" xfId="0" applyNumberFormat="1" applyFill="1" applyBorder="1" applyAlignment="1" applyProtection="1">
      <alignment horizontal="right"/>
      <protection locked="0"/>
    </xf>
    <xf numFmtId="1" fontId="7" fillId="4" borderId="3" xfId="0" applyNumberFormat="1" applyFont="1" applyFill="1" applyBorder="1" applyAlignment="1">
      <alignment horizontal="center"/>
    </xf>
    <xf numFmtId="1" fontId="2" fillId="0" borderId="0" xfId="0" applyNumberFormat="1" applyFont="1" applyAlignment="1" applyProtection="1">
      <alignment horizontal="center" vertical="center"/>
      <protection locked="0"/>
    </xf>
    <xf numFmtId="1" fontId="0" fillId="4" borderId="3" xfId="0" applyNumberFormat="1" applyFill="1" applyBorder="1" applyAlignment="1" applyProtection="1">
      <alignment horizontal="center"/>
      <protection locked="0"/>
    </xf>
    <xf numFmtId="10" fontId="0" fillId="4" borderId="1" xfId="2" applyNumberFormat="1" applyFont="1" applyFill="1" applyBorder="1" applyAlignment="1" applyProtection="1">
      <alignment horizontal="center"/>
      <protection locked="0"/>
    </xf>
    <xf numFmtId="9" fontId="2" fillId="4" borderId="1" xfId="2" applyFont="1" applyFill="1" applyBorder="1" applyAlignment="1" applyProtection="1">
      <alignment horizontal="center"/>
      <protection locked="0"/>
    </xf>
    <xf numFmtId="10" fontId="1" fillId="4" borderId="1" xfId="2" applyNumberFormat="1" applyFont="1" applyFill="1" applyBorder="1" applyAlignment="1" applyProtection="1">
      <alignment horizontal="center"/>
      <protection locked="0"/>
    </xf>
    <xf numFmtId="10" fontId="1" fillId="4" borderId="1" xfId="2" applyNumberFormat="1" applyFont="1" applyFill="1" applyBorder="1" applyAlignment="1" applyProtection="1">
      <alignment horizontal="right"/>
      <protection locked="0"/>
    </xf>
    <xf numFmtId="10" fontId="2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2" applyNumberFormat="1" applyFont="1" applyFill="1" applyBorder="1" applyAlignment="1" applyProtection="1">
      <alignment horizontal="center" vertical="top"/>
      <protection locked="0"/>
    </xf>
    <xf numFmtId="10" fontId="0" fillId="4" borderId="1" xfId="2" applyNumberFormat="1" applyFont="1" applyFill="1" applyBorder="1" applyAlignment="1" applyProtection="1">
      <alignment horizontal="center" vertical="center"/>
      <protection locked="0"/>
    </xf>
    <xf numFmtId="166" fontId="2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right"/>
      <protection locked="0"/>
    </xf>
    <xf numFmtId="10" fontId="2" fillId="4" borderId="1" xfId="0" quotePrefix="1" applyNumberFormat="1" applyFont="1" applyFill="1" applyBorder="1" applyAlignment="1" applyProtection="1">
      <alignment horizontal="center"/>
      <protection locked="0"/>
    </xf>
    <xf numFmtId="10" fontId="0" fillId="4" borderId="1" xfId="0" applyNumberFormat="1" applyFill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10" fontId="0" fillId="0" borderId="1" xfId="0" applyNumberFormat="1" applyBorder="1" applyAlignment="1" applyProtection="1">
      <alignment horizontal="center"/>
      <protection locked="0"/>
    </xf>
    <xf numFmtId="10" fontId="0" fillId="0" borderId="1" xfId="2" applyNumberFormat="1" applyFont="1" applyBorder="1" applyAlignment="1" applyProtection="1">
      <alignment horizontal="center"/>
      <protection locked="0"/>
    </xf>
    <xf numFmtId="166" fontId="0" fillId="0" borderId="1" xfId="2" applyNumberFormat="1" applyFon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 vertical="top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/>
      <protection locked="0"/>
    </xf>
    <xf numFmtId="1" fontId="0" fillId="0" borderId="1" xfId="0" applyNumberFormat="1" applyBorder="1" applyProtection="1">
      <protection locked="0"/>
    </xf>
    <xf numFmtId="1" fontId="8" fillId="0" borderId="1" xfId="0" applyNumberFormat="1" applyFont="1" applyBorder="1" applyAlignment="1">
      <alignment horizontal="center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1" fontId="8" fillId="0" borderId="1" xfId="0" applyNumberFormat="1" applyFont="1" applyBorder="1" applyAlignment="1" applyProtection="1">
      <alignment horizontal="center"/>
      <protection locked="0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7" fillId="0" borderId="1" xfId="0" applyNumberFormat="1" applyFont="1" applyBorder="1" applyAlignment="1">
      <alignment horizontal="center"/>
    </xf>
    <xf numFmtId="0" fontId="0" fillId="2" borderId="1" xfId="0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 applyProtection="1">
      <alignment horizontal="center"/>
      <protection locked="0"/>
    </xf>
    <xf numFmtId="2" fontId="9" fillId="0" borderId="1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 vertical="top"/>
      <protection locked="0"/>
    </xf>
    <xf numFmtId="4" fontId="6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/>
    <xf numFmtId="2" fontId="2" fillId="4" borderId="1" xfId="0" applyNumberFormat="1" applyFont="1" applyFill="1" applyBorder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" fontId="10" fillId="4" borderId="1" xfId="0" applyNumberFormat="1" applyFont="1" applyFill="1" applyBorder="1" applyAlignment="1" applyProtection="1">
      <alignment horizontal="center"/>
      <protection locked="0"/>
    </xf>
    <xf numFmtId="1" fontId="11" fillId="4" borderId="1" xfId="0" applyNumberFormat="1" applyFont="1" applyFill="1" applyBorder="1" applyAlignment="1" applyProtection="1">
      <alignment horizontal="center"/>
      <protection locked="0"/>
    </xf>
    <xf numFmtId="1" fontId="2" fillId="4" borderId="3" xfId="0" applyNumberFormat="1" applyFont="1" applyFill="1" applyBorder="1" applyAlignment="1">
      <alignment horizontal="center"/>
    </xf>
    <xf numFmtId="1" fontId="10" fillId="4" borderId="1" xfId="0" applyNumberFormat="1" applyFont="1" applyFill="1" applyBorder="1" applyAlignment="1" applyProtection="1">
      <alignment horizontal="center" vertical="top"/>
      <protection locked="0"/>
    </xf>
    <xf numFmtId="1" fontId="10" fillId="4" borderId="1" xfId="0" applyNumberFormat="1" applyFont="1" applyFill="1" applyBorder="1" applyAlignment="1" applyProtection="1">
      <alignment horizontal="center" vertical="center"/>
      <protection locked="0"/>
    </xf>
    <xf numFmtId="2" fontId="9" fillId="4" borderId="1" xfId="0" applyNumberFormat="1" applyFont="1" applyFill="1" applyBorder="1" applyAlignment="1">
      <alignment vertical="center"/>
    </xf>
    <xf numFmtId="2" fontId="8" fillId="4" borderId="3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 applyProtection="1">
      <alignment horizontal="center" vertical="top"/>
      <protection locked="0"/>
    </xf>
    <xf numFmtId="2" fontId="2" fillId="4" borderId="1" xfId="0" applyNumberFormat="1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4" fontId="6" fillId="4" borderId="1" xfId="0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"/>
  <sheetViews>
    <sheetView tabSelected="1" workbookViewId="0">
      <selection activeCell="E8" sqref="E8"/>
    </sheetView>
  </sheetViews>
  <sheetFormatPr baseColWidth="10" defaultRowHeight="14.5" x14ac:dyDescent="0.35"/>
  <cols>
    <col min="1" max="1" width="13.26953125" customWidth="1"/>
    <col min="2" max="2" width="26" customWidth="1"/>
    <col min="3" max="33" width="12.6328125" customWidth="1"/>
  </cols>
  <sheetData>
    <row r="1" spans="1:34" x14ac:dyDescent="0.35">
      <c r="A1" s="1"/>
      <c r="B1" s="2"/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80</v>
      </c>
      <c r="S1" s="3" t="s">
        <v>81</v>
      </c>
      <c r="T1" s="3" t="s">
        <v>82</v>
      </c>
      <c r="U1" s="3" t="s">
        <v>83</v>
      </c>
      <c r="V1" s="3" t="s">
        <v>84</v>
      </c>
      <c r="W1" s="3" t="s">
        <v>85</v>
      </c>
      <c r="X1" s="3" t="s">
        <v>86</v>
      </c>
      <c r="Y1" s="3" t="s">
        <v>80</v>
      </c>
      <c r="Z1" s="3" t="s">
        <v>81</v>
      </c>
      <c r="AA1" s="3" t="s">
        <v>82</v>
      </c>
      <c r="AB1" s="3" t="s">
        <v>83</v>
      </c>
      <c r="AC1" s="3" t="s">
        <v>84</v>
      </c>
      <c r="AD1" s="3" t="s">
        <v>85</v>
      </c>
      <c r="AE1" s="3" t="s">
        <v>86</v>
      </c>
      <c r="AF1" s="3" t="s">
        <v>80</v>
      </c>
      <c r="AG1" s="3" t="s">
        <v>81</v>
      </c>
      <c r="AH1" s="1"/>
    </row>
    <row r="2" spans="1:34" x14ac:dyDescent="0.35">
      <c r="A2" s="1"/>
      <c r="B2" s="4"/>
      <c r="C2" s="5">
        <v>46143</v>
      </c>
      <c r="D2" s="5">
        <f>IF(C2+1&gt;EOMONTH(C2,0),"",C2+1)</f>
        <v>46144</v>
      </c>
      <c r="E2" s="5">
        <f t="shared" ref="E2:AG2" si="0">IF(D2+1&gt;EOMONTH(D2,0),"",D2+1)</f>
        <v>46145</v>
      </c>
      <c r="F2" s="5">
        <f t="shared" si="0"/>
        <v>46146</v>
      </c>
      <c r="G2" s="5">
        <f t="shared" si="0"/>
        <v>46147</v>
      </c>
      <c r="H2" s="5">
        <f t="shared" si="0"/>
        <v>46148</v>
      </c>
      <c r="I2" s="5">
        <f t="shared" si="0"/>
        <v>46149</v>
      </c>
      <c r="J2" s="5">
        <f t="shared" si="0"/>
        <v>46150</v>
      </c>
      <c r="K2" s="5">
        <f t="shared" si="0"/>
        <v>46151</v>
      </c>
      <c r="L2" s="5">
        <f t="shared" si="0"/>
        <v>46152</v>
      </c>
      <c r="M2" s="5">
        <f t="shared" si="0"/>
        <v>46153</v>
      </c>
      <c r="N2" s="5">
        <f t="shared" si="0"/>
        <v>46154</v>
      </c>
      <c r="O2" s="5">
        <f t="shared" si="0"/>
        <v>46155</v>
      </c>
      <c r="P2" s="5">
        <f t="shared" si="0"/>
        <v>46156</v>
      </c>
      <c r="Q2" s="5">
        <f t="shared" si="0"/>
        <v>46157</v>
      </c>
      <c r="R2" s="5">
        <f t="shared" si="0"/>
        <v>46158</v>
      </c>
      <c r="S2" s="5">
        <f t="shared" si="0"/>
        <v>46159</v>
      </c>
      <c r="T2" s="5">
        <f t="shared" si="0"/>
        <v>46160</v>
      </c>
      <c r="U2" s="5">
        <f t="shared" si="0"/>
        <v>46161</v>
      </c>
      <c r="V2" s="5">
        <f t="shared" si="0"/>
        <v>46162</v>
      </c>
      <c r="W2" s="5">
        <f t="shared" si="0"/>
        <v>46163</v>
      </c>
      <c r="X2" s="5">
        <f t="shared" si="0"/>
        <v>46164</v>
      </c>
      <c r="Y2" s="5">
        <f t="shared" si="0"/>
        <v>46165</v>
      </c>
      <c r="Z2" s="5">
        <f t="shared" si="0"/>
        <v>46166</v>
      </c>
      <c r="AA2" s="5">
        <f t="shared" si="0"/>
        <v>46167</v>
      </c>
      <c r="AB2" s="5">
        <f t="shared" si="0"/>
        <v>46168</v>
      </c>
      <c r="AC2" s="5">
        <f t="shared" si="0"/>
        <v>46169</v>
      </c>
      <c r="AD2" s="5">
        <f t="shared" si="0"/>
        <v>46170</v>
      </c>
      <c r="AE2" s="5">
        <f t="shared" si="0"/>
        <v>46171</v>
      </c>
      <c r="AF2" s="5">
        <f t="shared" si="0"/>
        <v>46172</v>
      </c>
      <c r="AG2" s="5">
        <f t="shared" si="0"/>
        <v>46173</v>
      </c>
      <c r="AH2" s="6" t="s">
        <v>0</v>
      </c>
    </row>
    <row r="3" spans="1:34" x14ac:dyDescent="0.35">
      <c r="A3" s="7" t="s">
        <v>1</v>
      </c>
      <c r="B3" s="8" t="s">
        <v>2</v>
      </c>
      <c r="C3" s="9" t="s">
        <v>3</v>
      </c>
      <c r="D3" s="10" t="s">
        <v>4</v>
      </c>
      <c r="E3" s="9" t="s">
        <v>4</v>
      </c>
      <c r="F3" s="9" t="s">
        <v>5</v>
      </c>
      <c r="G3" s="9" t="s">
        <v>6</v>
      </c>
      <c r="H3" s="11" t="s">
        <v>7</v>
      </c>
      <c r="I3" s="9" t="s">
        <v>7</v>
      </c>
      <c r="J3" s="9"/>
      <c r="K3" s="9" t="s">
        <v>6</v>
      </c>
      <c r="L3" s="9" t="s">
        <v>6</v>
      </c>
      <c r="M3" s="9" t="s">
        <v>7</v>
      </c>
      <c r="N3" s="9" t="s">
        <v>8</v>
      </c>
      <c r="O3" s="9" t="s">
        <v>9</v>
      </c>
      <c r="P3" s="9" t="s">
        <v>7</v>
      </c>
      <c r="Q3" s="12" t="s">
        <v>7</v>
      </c>
      <c r="R3" s="9" t="s">
        <v>10</v>
      </c>
      <c r="S3" s="9" t="s">
        <v>7</v>
      </c>
      <c r="T3" s="13" t="s">
        <v>5</v>
      </c>
      <c r="U3" s="9" t="s">
        <v>11</v>
      </c>
      <c r="V3" s="12" t="s">
        <v>7</v>
      </c>
      <c r="W3" s="14" t="s">
        <v>7</v>
      </c>
      <c r="X3" s="15" t="s">
        <v>7</v>
      </c>
      <c r="Y3" s="9" t="s">
        <v>7</v>
      </c>
      <c r="Z3" s="9" t="s">
        <v>7</v>
      </c>
      <c r="AA3" s="10" t="s">
        <v>7</v>
      </c>
      <c r="AB3" s="16" t="s">
        <v>7</v>
      </c>
      <c r="AC3" s="10" t="s">
        <v>12</v>
      </c>
      <c r="AD3" s="16" t="s">
        <v>13</v>
      </c>
      <c r="AE3" s="10" t="s">
        <v>14</v>
      </c>
      <c r="AF3" s="10" t="s">
        <v>14</v>
      </c>
      <c r="AG3" s="10" t="s">
        <v>15</v>
      </c>
      <c r="AH3" s="17"/>
    </row>
    <row r="4" spans="1:34" x14ac:dyDescent="0.35">
      <c r="A4" s="7" t="s">
        <v>16</v>
      </c>
      <c r="B4" s="8" t="s">
        <v>17</v>
      </c>
      <c r="C4" s="18">
        <v>3335</v>
      </c>
      <c r="D4" s="19">
        <v>3976</v>
      </c>
      <c r="E4" s="18">
        <v>8196</v>
      </c>
      <c r="F4" s="18">
        <v>0</v>
      </c>
      <c r="G4" s="18">
        <v>3070</v>
      </c>
      <c r="H4" s="18">
        <v>3438</v>
      </c>
      <c r="I4" s="18">
        <v>6507</v>
      </c>
      <c r="J4" s="18">
        <v>0</v>
      </c>
      <c r="K4" s="18">
        <v>5675</v>
      </c>
      <c r="L4" s="18">
        <v>0</v>
      </c>
      <c r="M4" s="18">
        <v>3146</v>
      </c>
      <c r="N4" s="18">
        <v>5857</v>
      </c>
      <c r="O4" s="18">
        <v>4236</v>
      </c>
      <c r="P4" s="18">
        <v>3082</v>
      </c>
      <c r="Q4" s="18">
        <v>0</v>
      </c>
      <c r="R4" s="18">
        <v>0</v>
      </c>
      <c r="S4" s="18">
        <v>0</v>
      </c>
      <c r="T4" s="20">
        <v>0</v>
      </c>
      <c r="U4" s="18">
        <v>1646</v>
      </c>
      <c r="V4" s="10">
        <v>3477</v>
      </c>
      <c r="W4" s="21">
        <v>0</v>
      </c>
      <c r="X4" s="22">
        <v>0</v>
      </c>
      <c r="Y4" s="18">
        <v>0</v>
      </c>
      <c r="Z4" s="18">
        <v>0</v>
      </c>
      <c r="AA4" s="18">
        <v>0</v>
      </c>
      <c r="AB4" s="22">
        <v>0</v>
      </c>
      <c r="AC4" s="18">
        <v>0</v>
      </c>
      <c r="AD4" s="22">
        <v>0</v>
      </c>
      <c r="AE4" s="18">
        <v>0</v>
      </c>
      <c r="AF4" s="10">
        <v>0</v>
      </c>
      <c r="AG4" s="18">
        <v>0</v>
      </c>
      <c r="AH4" s="23">
        <f>SUM(C4:AG4)</f>
        <v>55641</v>
      </c>
    </row>
    <row r="5" spans="1:34" x14ac:dyDescent="0.35">
      <c r="A5" s="7" t="s">
        <v>18</v>
      </c>
      <c r="B5" s="8" t="s">
        <v>19</v>
      </c>
      <c r="C5" s="18">
        <v>0</v>
      </c>
      <c r="D5" s="10">
        <v>1591</v>
      </c>
      <c r="E5" s="18">
        <v>721</v>
      </c>
      <c r="F5" s="18">
        <v>454</v>
      </c>
      <c r="G5" s="18">
        <v>744</v>
      </c>
      <c r="H5" s="18">
        <v>1242</v>
      </c>
      <c r="I5" s="18">
        <v>1269</v>
      </c>
      <c r="J5" s="18">
        <v>1388</v>
      </c>
      <c r="K5" s="18">
        <v>1890</v>
      </c>
      <c r="L5" s="18">
        <v>1431</v>
      </c>
      <c r="M5" s="18">
        <v>746</v>
      </c>
      <c r="N5" s="18">
        <v>477</v>
      </c>
      <c r="O5" s="18">
        <v>335</v>
      </c>
      <c r="P5" s="18">
        <v>1204</v>
      </c>
      <c r="Q5" s="18">
        <v>1529</v>
      </c>
      <c r="R5" s="18">
        <v>1374</v>
      </c>
      <c r="S5" s="18">
        <v>1827</v>
      </c>
      <c r="T5" s="20">
        <v>1702</v>
      </c>
      <c r="U5" s="18">
        <v>925</v>
      </c>
      <c r="V5" s="10">
        <v>722</v>
      </c>
      <c r="W5" s="21">
        <v>1435</v>
      </c>
      <c r="X5" s="22">
        <v>1626</v>
      </c>
      <c r="Y5" s="18">
        <v>1662</v>
      </c>
      <c r="Z5" s="18">
        <v>1328</v>
      </c>
      <c r="AA5" s="18">
        <v>642</v>
      </c>
      <c r="AB5" s="22">
        <v>642</v>
      </c>
      <c r="AC5" s="18">
        <v>87</v>
      </c>
      <c r="AD5" s="22">
        <v>8</v>
      </c>
      <c r="AE5" s="18">
        <v>439</v>
      </c>
      <c r="AF5" s="10">
        <v>1403</v>
      </c>
      <c r="AG5" s="18">
        <v>1444</v>
      </c>
      <c r="AH5" s="23">
        <f>SUM(C5:AG5)</f>
        <v>32287</v>
      </c>
    </row>
    <row r="6" spans="1:34" x14ac:dyDescent="0.35">
      <c r="A6" s="24" t="s">
        <v>20</v>
      </c>
      <c r="B6" s="8" t="s">
        <v>21</v>
      </c>
      <c r="C6" s="18">
        <v>2802</v>
      </c>
      <c r="D6" s="10">
        <v>9057</v>
      </c>
      <c r="E6" s="18">
        <v>10508</v>
      </c>
      <c r="F6" s="18">
        <v>9064</v>
      </c>
      <c r="G6" s="18">
        <v>8412</v>
      </c>
      <c r="H6" s="18">
        <v>7318</v>
      </c>
      <c r="I6" s="18">
        <v>9536</v>
      </c>
      <c r="J6" s="18">
        <v>7813</v>
      </c>
      <c r="K6" s="18">
        <v>8923</v>
      </c>
      <c r="L6" s="18">
        <v>9463</v>
      </c>
      <c r="M6" s="18">
        <v>5662</v>
      </c>
      <c r="N6" s="18">
        <v>11638</v>
      </c>
      <c r="O6" s="18">
        <v>6914</v>
      </c>
      <c r="P6" s="18">
        <v>9392</v>
      </c>
      <c r="Q6" s="18">
        <v>8480</v>
      </c>
      <c r="R6" s="18">
        <v>8397</v>
      </c>
      <c r="S6" s="18">
        <v>7860</v>
      </c>
      <c r="T6" s="20">
        <v>9219</v>
      </c>
      <c r="U6" s="18">
        <v>7978</v>
      </c>
      <c r="V6" s="10">
        <v>11166</v>
      </c>
      <c r="W6" s="21">
        <v>7730</v>
      </c>
      <c r="X6" s="22">
        <v>8528</v>
      </c>
      <c r="Y6" s="18">
        <v>12467</v>
      </c>
      <c r="Z6" s="18">
        <v>13017</v>
      </c>
      <c r="AA6" s="18">
        <v>14010</v>
      </c>
      <c r="AB6" s="22">
        <v>15089</v>
      </c>
      <c r="AC6" s="18">
        <v>0</v>
      </c>
      <c r="AD6" s="22">
        <v>0</v>
      </c>
      <c r="AE6" s="18">
        <v>6728</v>
      </c>
      <c r="AF6" s="10">
        <v>6787</v>
      </c>
      <c r="AG6" s="18">
        <v>5578</v>
      </c>
      <c r="AH6" s="23">
        <f>SUM(C6:AG6)</f>
        <v>259536</v>
      </c>
    </row>
    <row r="7" spans="1:34" x14ac:dyDescent="0.35">
      <c r="A7" s="25"/>
      <c r="B7" s="8" t="s">
        <v>22</v>
      </c>
      <c r="C7" s="18">
        <v>2802</v>
      </c>
      <c r="D7" s="10">
        <v>9057</v>
      </c>
      <c r="E7" s="18">
        <v>10508</v>
      </c>
      <c r="F7" s="18">
        <v>9064</v>
      </c>
      <c r="G7" s="18">
        <v>8412</v>
      </c>
      <c r="H7" s="18">
        <v>7318</v>
      </c>
      <c r="I7" s="18">
        <v>9536</v>
      </c>
      <c r="J7" s="18">
        <v>7813</v>
      </c>
      <c r="K7" s="18">
        <v>8923</v>
      </c>
      <c r="L7" s="18">
        <v>9463</v>
      </c>
      <c r="M7" s="18">
        <v>5662</v>
      </c>
      <c r="N7" s="18">
        <v>11638</v>
      </c>
      <c r="O7" s="18">
        <v>6914</v>
      </c>
      <c r="P7" s="18">
        <v>9392</v>
      </c>
      <c r="Q7" s="18">
        <v>8480</v>
      </c>
      <c r="R7" s="18">
        <v>8397</v>
      </c>
      <c r="S7" s="18">
        <v>7860</v>
      </c>
      <c r="T7" s="20">
        <v>9219</v>
      </c>
      <c r="U7" s="18">
        <v>7978</v>
      </c>
      <c r="V7" s="10">
        <v>11166</v>
      </c>
      <c r="W7" s="21">
        <v>7730</v>
      </c>
      <c r="X7" s="22">
        <v>8528</v>
      </c>
      <c r="Y7" s="18">
        <v>12467</v>
      </c>
      <c r="Z7" s="18">
        <v>13017</v>
      </c>
      <c r="AA7" s="18">
        <v>14010</v>
      </c>
      <c r="AB7" s="22">
        <v>15089</v>
      </c>
      <c r="AC7" s="18">
        <v>0</v>
      </c>
      <c r="AD7" s="22">
        <v>0</v>
      </c>
      <c r="AE7" s="18">
        <v>2853</v>
      </c>
      <c r="AF7" s="10">
        <v>5137</v>
      </c>
      <c r="AG7" s="18">
        <v>0</v>
      </c>
      <c r="AH7" s="23">
        <f>SUM(C7:AG7)</f>
        <v>248433</v>
      </c>
    </row>
    <row r="8" spans="1:34" x14ac:dyDescent="0.35">
      <c r="A8" s="25"/>
      <c r="B8" s="8" t="s">
        <v>23</v>
      </c>
      <c r="C8" s="18">
        <v>0</v>
      </c>
      <c r="D8" s="10">
        <v>0</v>
      </c>
      <c r="E8" s="18">
        <v>0</v>
      </c>
      <c r="F8" s="18">
        <v>0</v>
      </c>
      <c r="G8" s="18">
        <v>0</v>
      </c>
      <c r="H8" s="9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20">
        <v>0</v>
      </c>
      <c r="U8" s="18">
        <v>0</v>
      </c>
      <c r="V8" s="10">
        <v>0</v>
      </c>
      <c r="W8" s="21">
        <v>0</v>
      </c>
      <c r="X8" s="22">
        <v>0</v>
      </c>
      <c r="Y8" s="18">
        <v>0</v>
      </c>
      <c r="Z8" s="18">
        <v>0</v>
      </c>
      <c r="AA8" s="18">
        <v>0</v>
      </c>
      <c r="AB8" s="22">
        <v>0</v>
      </c>
      <c r="AC8" s="18">
        <v>0</v>
      </c>
      <c r="AD8" s="22">
        <v>0</v>
      </c>
      <c r="AE8" s="18">
        <v>3875</v>
      </c>
      <c r="AF8" s="10">
        <v>1650</v>
      </c>
      <c r="AG8" s="18">
        <v>5578</v>
      </c>
      <c r="AH8" s="23">
        <f>SUM(C8:AG8)</f>
        <v>11103</v>
      </c>
    </row>
    <row r="9" spans="1:34" x14ac:dyDescent="0.35">
      <c r="A9" s="25"/>
      <c r="B9" s="8" t="s">
        <v>24</v>
      </c>
      <c r="C9" s="18">
        <v>400.28571428571428</v>
      </c>
      <c r="D9" s="10">
        <v>405.59785042543666</v>
      </c>
      <c r="E9" s="26">
        <v>477.63636363636363</v>
      </c>
      <c r="F9" s="18">
        <v>406.45739910313898</v>
      </c>
      <c r="G9" s="18">
        <v>502.20895522388059</v>
      </c>
      <c r="H9" s="18">
        <v>380.15584415584414</v>
      </c>
      <c r="I9" s="18">
        <v>446.6510538641686</v>
      </c>
      <c r="J9" s="18">
        <v>336.04301075268819</v>
      </c>
      <c r="K9" s="18">
        <v>524.88235294117646</v>
      </c>
      <c r="L9" s="18">
        <v>430.13636363636363</v>
      </c>
      <c r="M9" s="18">
        <v>388.34019204389574</v>
      </c>
      <c r="N9" s="18">
        <v>600.82601961796593</v>
      </c>
      <c r="O9" s="18">
        <v>371.12184648416536</v>
      </c>
      <c r="P9" s="18">
        <v>599.74457215836526</v>
      </c>
      <c r="Q9" s="26">
        <v>483.1908831908832</v>
      </c>
      <c r="R9" s="18">
        <v>457.60217983651222</v>
      </c>
      <c r="S9" s="18">
        <v>524</v>
      </c>
      <c r="T9" s="27">
        <v>398.05699481865287</v>
      </c>
      <c r="U9" s="18">
        <v>481.18214716525938</v>
      </c>
      <c r="V9" s="28">
        <v>499.3738819320215</v>
      </c>
      <c r="W9" s="21">
        <v>474.81572481572476</v>
      </c>
      <c r="X9" s="22">
        <v>555.57003257328995</v>
      </c>
      <c r="Y9" s="18">
        <v>641.63664436438501</v>
      </c>
      <c r="Z9" s="18">
        <v>607.98692199906588</v>
      </c>
      <c r="AA9" s="18">
        <v>641.77737059092999</v>
      </c>
      <c r="AB9" s="22">
        <v>754.45</v>
      </c>
      <c r="AC9" s="18" t="e">
        <v>#DIV/0!</v>
      </c>
      <c r="AD9" s="22" t="e">
        <v>#DIV/0!</v>
      </c>
      <c r="AE9" s="18">
        <v>672.8</v>
      </c>
      <c r="AF9" s="10">
        <v>760.87443946188341</v>
      </c>
      <c r="AG9" s="18">
        <v>568.02443991853363</v>
      </c>
      <c r="AH9" s="23">
        <f>AH6/AH15</f>
        <v>501.50914958165038</v>
      </c>
    </row>
    <row r="10" spans="1:34" x14ac:dyDescent="0.35">
      <c r="A10" s="25"/>
      <c r="B10" s="8" t="s">
        <v>25</v>
      </c>
      <c r="C10" s="18">
        <v>0</v>
      </c>
      <c r="D10" s="19">
        <v>0</v>
      </c>
      <c r="E10" s="29">
        <v>0</v>
      </c>
      <c r="F10" s="18">
        <v>0</v>
      </c>
      <c r="G10" s="18">
        <v>0</v>
      </c>
      <c r="H10" s="29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29">
        <v>0</v>
      </c>
      <c r="R10" s="18">
        <v>0</v>
      </c>
      <c r="S10" s="18">
        <v>0</v>
      </c>
      <c r="T10" s="30">
        <v>0</v>
      </c>
      <c r="U10" s="18">
        <v>0</v>
      </c>
      <c r="V10" s="31">
        <v>0</v>
      </c>
      <c r="W10" s="21">
        <v>0</v>
      </c>
      <c r="X10" s="22">
        <v>0</v>
      </c>
      <c r="Y10" s="18">
        <v>0</v>
      </c>
      <c r="Z10" s="18">
        <v>0</v>
      </c>
      <c r="AA10" s="18">
        <v>0</v>
      </c>
      <c r="AB10" s="22">
        <v>0</v>
      </c>
      <c r="AC10" s="18">
        <v>0</v>
      </c>
      <c r="AD10" s="22">
        <v>0</v>
      </c>
      <c r="AE10" s="18">
        <v>0</v>
      </c>
      <c r="AF10" s="10">
        <v>0</v>
      </c>
      <c r="AG10" s="18">
        <v>0</v>
      </c>
      <c r="AH10" s="23">
        <f>SUM(C10:AG10)</f>
        <v>0</v>
      </c>
    </row>
    <row r="11" spans="1:34" x14ac:dyDescent="0.35">
      <c r="A11" s="25"/>
      <c r="B11" s="8" t="s">
        <v>26</v>
      </c>
      <c r="C11" s="18">
        <v>0</v>
      </c>
      <c r="D11" s="9">
        <v>0</v>
      </c>
      <c r="E11" s="29">
        <v>0</v>
      </c>
      <c r="F11" s="18">
        <v>0</v>
      </c>
      <c r="G11" s="18">
        <v>0</v>
      </c>
      <c r="H11" s="29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29">
        <v>0</v>
      </c>
      <c r="R11" s="18">
        <v>0</v>
      </c>
      <c r="S11" s="18">
        <v>0</v>
      </c>
      <c r="T11" s="30">
        <v>0</v>
      </c>
      <c r="U11" s="18">
        <v>0</v>
      </c>
      <c r="V11" s="31">
        <v>0</v>
      </c>
      <c r="W11" s="21">
        <v>0</v>
      </c>
      <c r="X11" s="22">
        <v>0</v>
      </c>
      <c r="Y11" s="18">
        <v>0</v>
      </c>
      <c r="Z11" s="18">
        <v>0</v>
      </c>
      <c r="AA11" s="18">
        <v>0</v>
      </c>
      <c r="AB11" s="22">
        <v>0</v>
      </c>
      <c r="AC11" s="18">
        <v>0</v>
      </c>
      <c r="AD11" s="22">
        <v>0</v>
      </c>
      <c r="AE11" s="18">
        <v>0</v>
      </c>
      <c r="AF11" s="10">
        <v>0</v>
      </c>
      <c r="AG11" s="18">
        <v>0</v>
      </c>
      <c r="AH11" s="23">
        <f>SUM(C11:AG11)</f>
        <v>0</v>
      </c>
    </row>
    <row r="12" spans="1:34" x14ac:dyDescent="0.35">
      <c r="A12" s="25"/>
      <c r="B12" s="8" t="s">
        <v>27</v>
      </c>
      <c r="C12" s="32">
        <v>0.74644970414201184</v>
      </c>
      <c r="D12" s="32">
        <v>0.73457634317264808</v>
      </c>
      <c r="E12" s="32">
        <v>0.76319383495665194</v>
      </c>
      <c r="F12" s="32">
        <v>0</v>
      </c>
      <c r="G12" s="32">
        <v>0.55516524631053832</v>
      </c>
      <c r="H12" s="32">
        <v>0.46662402496099842</v>
      </c>
      <c r="I12" s="32">
        <v>0.6743406789755807</v>
      </c>
      <c r="J12" s="32" t="e">
        <v>#DIV/0!</v>
      </c>
      <c r="K12" s="32">
        <v>0.82164253619570649</v>
      </c>
      <c r="L12" s="32">
        <v>0</v>
      </c>
      <c r="M12" s="32">
        <v>0.55004421221864952</v>
      </c>
      <c r="N12" s="32">
        <v>0.50015606595995288</v>
      </c>
      <c r="O12" s="32">
        <v>0.71337979094076653</v>
      </c>
      <c r="P12" s="18">
        <v>0.26542664818847755</v>
      </c>
      <c r="Q12" s="33">
        <v>0</v>
      </c>
      <c r="R12" s="32">
        <v>0</v>
      </c>
      <c r="S12" s="32">
        <v>0</v>
      </c>
      <c r="T12" s="34">
        <v>0</v>
      </c>
      <c r="U12" s="32">
        <v>0.16403436426116838</v>
      </c>
      <c r="V12" s="35">
        <v>0.38588978185993106</v>
      </c>
      <c r="W12" s="36">
        <v>0</v>
      </c>
      <c r="X12" s="37">
        <v>0</v>
      </c>
      <c r="Y12" s="32">
        <v>0</v>
      </c>
      <c r="Z12" s="32">
        <v>0</v>
      </c>
      <c r="AA12" s="32">
        <v>0</v>
      </c>
      <c r="AB12" s="37">
        <v>0</v>
      </c>
      <c r="AC12" s="32" t="e">
        <v>#DIV/0!</v>
      </c>
      <c r="AD12" s="37" t="e">
        <v>#DIV/0!</v>
      </c>
      <c r="AE12" s="32">
        <v>0</v>
      </c>
      <c r="AF12" s="10">
        <v>0</v>
      </c>
      <c r="AG12" s="32">
        <v>0</v>
      </c>
      <c r="AH12" s="38">
        <f>(AH4+AH11)*0.87/AH31</f>
        <v>0.26143979736225276</v>
      </c>
    </row>
    <row r="13" spans="1:34" x14ac:dyDescent="0.35">
      <c r="A13" s="25"/>
      <c r="B13" s="8" t="s">
        <v>28</v>
      </c>
      <c r="C13" s="18">
        <v>0</v>
      </c>
      <c r="D13" s="10">
        <v>0</v>
      </c>
      <c r="E13" s="29">
        <v>0</v>
      </c>
      <c r="F13" s="18">
        <v>0</v>
      </c>
      <c r="G13" s="18">
        <v>0</v>
      </c>
      <c r="H13" s="29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29">
        <v>0</v>
      </c>
      <c r="R13" s="18">
        <v>0</v>
      </c>
      <c r="S13" s="18">
        <v>0</v>
      </c>
      <c r="T13" s="30">
        <v>0</v>
      </c>
      <c r="U13" s="18">
        <v>0</v>
      </c>
      <c r="V13" s="31">
        <v>0</v>
      </c>
      <c r="W13" s="21">
        <v>0</v>
      </c>
      <c r="X13" s="22">
        <v>0</v>
      </c>
      <c r="Y13" s="18">
        <v>0</v>
      </c>
      <c r="Z13" s="18">
        <v>0</v>
      </c>
      <c r="AA13" s="18">
        <v>0</v>
      </c>
      <c r="AB13" s="22">
        <v>0</v>
      </c>
      <c r="AC13" s="18">
        <v>0</v>
      </c>
      <c r="AD13" s="22">
        <v>0</v>
      </c>
      <c r="AE13" s="18">
        <v>0</v>
      </c>
      <c r="AF13" s="10">
        <v>0</v>
      </c>
      <c r="AG13" s="18">
        <v>0</v>
      </c>
      <c r="AH13" s="23">
        <f>SUM(C13:AG13)</f>
        <v>0</v>
      </c>
    </row>
    <row r="14" spans="1:34" x14ac:dyDescent="0.35">
      <c r="A14" s="25"/>
      <c r="B14" s="8" t="s">
        <v>29</v>
      </c>
      <c r="C14" s="32">
        <v>0</v>
      </c>
      <c r="D14" s="32">
        <v>0</v>
      </c>
      <c r="E14" s="33">
        <v>0</v>
      </c>
      <c r="F14" s="32">
        <v>0</v>
      </c>
      <c r="G14" s="32">
        <v>0</v>
      </c>
      <c r="H14" s="32">
        <v>0</v>
      </c>
      <c r="I14" s="9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18">
        <v>0</v>
      </c>
      <c r="Q14" s="33">
        <v>0</v>
      </c>
      <c r="R14" s="32">
        <v>0</v>
      </c>
      <c r="S14" s="32">
        <v>0</v>
      </c>
      <c r="T14" s="39">
        <v>0</v>
      </c>
      <c r="U14" s="32">
        <v>0</v>
      </c>
      <c r="V14" s="35">
        <v>0</v>
      </c>
      <c r="W14" s="36">
        <v>0</v>
      </c>
      <c r="X14" s="37">
        <v>0</v>
      </c>
      <c r="Y14" s="32">
        <v>0</v>
      </c>
      <c r="Z14" s="32">
        <v>0</v>
      </c>
      <c r="AA14" s="32">
        <v>0</v>
      </c>
      <c r="AB14" s="37">
        <v>0</v>
      </c>
      <c r="AC14" s="32">
        <v>0</v>
      </c>
      <c r="AD14" s="37">
        <v>0</v>
      </c>
      <c r="AE14" s="32">
        <v>0</v>
      </c>
      <c r="AF14" s="10">
        <v>0</v>
      </c>
      <c r="AG14" s="32">
        <v>0</v>
      </c>
      <c r="AH14" s="38">
        <f>+AH13*0.62/AH34</f>
        <v>0</v>
      </c>
    </row>
    <row r="15" spans="1:34" x14ac:dyDescent="0.35">
      <c r="A15" s="40"/>
      <c r="B15" s="8" t="s">
        <v>30</v>
      </c>
      <c r="C15" s="41">
        <v>7</v>
      </c>
      <c r="D15" s="42">
        <v>22.33</v>
      </c>
      <c r="E15" s="41">
        <v>22</v>
      </c>
      <c r="F15" s="41">
        <v>22.3</v>
      </c>
      <c r="G15" s="41">
        <v>16.75</v>
      </c>
      <c r="H15" s="41">
        <v>19.25</v>
      </c>
      <c r="I15" s="43">
        <v>21.35</v>
      </c>
      <c r="J15" s="44">
        <v>23.25</v>
      </c>
      <c r="K15" s="44">
        <v>17</v>
      </c>
      <c r="L15" s="44">
        <v>22</v>
      </c>
      <c r="M15" s="44">
        <v>14.58</v>
      </c>
      <c r="N15" s="44">
        <v>19.37</v>
      </c>
      <c r="O15" s="44">
        <v>18.63</v>
      </c>
      <c r="P15" s="18">
        <v>15.66</v>
      </c>
      <c r="Q15" s="41">
        <v>17.55</v>
      </c>
      <c r="R15" s="44">
        <v>18.350000000000001</v>
      </c>
      <c r="S15" s="44">
        <v>15</v>
      </c>
      <c r="T15" s="45">
        <v>23.16</v>
      </c>
      <c r="U15" s="44">
        <v>16.579999999999998</v>
      </c>
      <c r="V15" s="42">
        <v>22.36</v>
      </c>
      <c r="W15" s="46">
        <v>16.28</v>
      </c>
      <c r="X15" s="47">
        <v>15.35</v>
      </c>
      <c r="Y15" s="44">
        <v>19.43</v>
      </c>
      <c r="Z15" s="44">
        <v>21.41</v>
      </c>
      <c r="AA15" s="41">
        <v>21.83</v>
      </c>
      <c r="AB15" s="47">
        <v>20</v>
      </c>
      <c r="AC15" s="41">
        <v>0</v>
      </c>
      <c r="AD15" s="48">
        <v>0</v>
      </c>
      <c r="AE15" s="41">
        <v>10</v>
      </c>
      <c r="AF15" s="49">
        <v>8.92</v>
      </c>
      <c r="AG15" s="18">
        <v>9.82</v>
      </c>
      <c r="AH15" s="23">
        <f>SUM(C15:AG15)</f>
        <v>517.51000000000022</v>
      </c>
    </row>
    <row r="16" spans="1:34" x14ac:dyDescent="0.35">
      <c r="A16" s="50" t="s">
        <v>31</v>
      </c>
      <c r="B16" s="8" t="s">
        <v>32</v>
      </c>
      <c r="C16" s="18">
        <v>1135</v>
      </c>
      <c r="D16" s="10">
        <v>4121</v>
      </c>
      <c r="E16" s="18">
        <v>4757</v>
      </c>
      <c r="F16" s="18">
        <v>3590</v>
      </c>
      <c r="G16" s="18">
        <v>4653</v>
      </c>
      <c r="H16" s="18">
        <v>3150</v>
      </c>
      <c r="I16" s="18">
        <v>4093</v>
      </c>
      <c r="J16" s="18">
        <v>4987</v>
      </c>
      <c r="K16" s="18">
        <v>4099</v>
      </c>
      <c r="L16" s="18">
        <v>4350</v>
      </c>
      <c r="M16" s="18">
        <v>2007</v>
      </c>
      <c r="N16" s="18">
        <v>4140</v>
      </c>
      <c r="O16" s="18">
        <v>3068</v>
      </c>
      <c r="P16" s="18">
        <v>1200</v>
      </c>
      <c r="Q16" s="18">
        <v>1542</v>
      </c>
      <c r="R16" s="18">
        <v>2361</v>
      </c>
      <c r="S16" s="18">
        <v>1650</v>
      </c>
      <c r="T16" s="20">
        <v>4709</v>
      </c>
      <c r="U16" s="18">
        <v>395</v>
      </c>
      <c r="V16" s="10">
        <v>2515</v>
      </c>
      <c r="W16" s="21">
        <v>0</v>
      </c>
      <c r="X16" s="22">
        <v>416</v>
      </c>
      <c r="Y16" s="18">
        <v>1806</v>
      </c>
      <c r="Z16" s="18">
        <v>4508</v>
      </c>
      <c r="AA16" s="18">
        <v>3012</v>
      </c>
      <c r="AB16" s="22">
        <v>3698</v>
      </c>
      <c r="AC16" s="18">
        <v>0</v>
      </c>
      <c r="AD16" s="22">
        <v>0</v>
      </c>
      <c r="AE16" s="18">
        <v>879</v>
      </c>
      <c r="AF16" s="10">
        <v>1564</v>
      </c>
      <c r="AG16" s="18">
        <v>0</v>
      </c>
      <c r="AH16" s="51">
        <f>SUM(C16:AG16)</f>
        <v>78405</v>
      </c>
    </row>
    <row r="17" spans="1:34" x14ac:dyDescent="0.35">
      <c r="A17" s="52"/>
      <c r="B17" s="8" t="s">
        <v>33</v>
      </c>
      <c r="C17" s="18">
        <v>1135</v>
      </c>
      <c r="D17" s="10">
        <v>4121</v>
      </c>
      <c r="E17" s="18">
        <v>4747</v>
      </c>
      <c r="F17" s="18">
        <v>3590</v>
      </c>
      <c r="G17" s="18">
        <v>4653</v>
      </c>
      <c r="H17" s="18">
        <v>3150</v>
      </c>
      <c r="I17" s="18">
        <v>4093</v>
      </c>
      <c r="J17" s="18">
        <v>4987</v>
      </c>
      <c r="K17" s="18">
        <v>4099</v>
      </c>
      <c r="L17" s="18">
        <v>4350</v>
      </c>
      <c r="M17" s="18">
        <v>2007</v>
      </c>
      <c r="N17" s="18">
        <v>4140</v>
      </c>
      <c r="O17" s="18">
        <v>3068</v>
      </c>
      <c r="P17" s="18">
        <v>1200</v>
      </c>
      <c r="Q17" s="18">
        <v>1542</v>
      </c>
      <c r="R17" s="18">
        <v>2361</v>
      </c>
      <c r="S17" s="18">
        <v>1650</v>
      </c>
      <c r="T17" s="20">
        <v>4709</v>
      </c>
      <c r="U17" s="18">
        <v>395</v>
      </c>
      <c r="V17" s="10">
        <v>2515</v>
      </c>
      <c r="W17" s="21">
        <v>0</v>
      </c>
      <c r="X17" s="22">
        <v>416</v>
      </c>
      <c r="Y17" s="18">
        <v>1806</v>
      </c>
      <c r="Z17" s="18">
        <v>4508</v>
      </c>
      <c r="AA17" s="18">
        <v>3012</v>
      </c>
      <c r="AB17" s="22">
        <v>3698</v>
      </c>
      <c r="AC17" s="18">
        <v>0</v>
      </c>
      <c r="AD17" s="22">
        <v>0</v>
      </c>
      <c r="AE17" s="18">
        <v>879</v>
      </c>
      <c r="AF17" s="10">
        <v>1564</v>
      </c>
      <c r="AG17" s="18">
        <v>0</v>
      </c>
      <c r="AH17" s="23">
        <f>SUM(C17:AG17)</f>
        <v>78395</v>
      </c>
    </row>
    <row r="18" spans="1:34" x14ac:dyDescent="0.35">
      <c r="A18" s="52"/>
      <c r="B18" s="8" t="s">
        <v>34</v>
      </c>
      <c r="C18" s="18">
        <v>0</v>
      </c>
      <c r="D18" s="10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20">
        <v>0</v>
      </c>
      <c r="U18" s="18">
        <v>0</v>
      </c>
      <c r="V18" s="10">
        <v>0</v>
      </c>
      <c r="W18" s="21">
        <v>0</v>
      </c>
      <c r="X18" s="22">
        <v>0</v>
      </c>
      <c r="Y18" s="18">
        <v>0</v>
      </c>
      <c r="Z18" s="18">
        <v>0</v>
      </c>
      <c r="AA18" s="18">
        <v>0</v>
      </c>
      <c r="AB18" s="22">
        <v>0</v>
      </c>
      <c r="AC18" s="18">
        <v>0</v>
      </c>
      <c r="AD18" s="22">
        <v>0</v>
      </c>
      <c r="AE18" s="18">
        <v>0</v>
      </c>
      <c r="AF18" s="10">
        <v>0</v>
      </c>
      <c r="AG18" s="18">
        <v>0</v>
      </c>
      <c r="AH18" s="23">
        <f>SUM(C18:AG18)</f>
        <v>0</v>
      </c>
    </row>
    <row r="19" spans="1:34" x14ac:dyDescent="0.35">
      <c r="A19" s="52"/>
      <c r="B19" s="8" t="s">
        <v>30</v>
      </c>
      <c r="C19" s="41">
        <v>4</v>
      </c>
      <c r="D19" s="42">
        <v>21.91</v>
      </c>
      <c r="E19" s="41">
        <v>22</v>
      </c>
      <c r="F19" s="53">
        <v>20</v>
      </c>
      <c r="G19" s="41">
        <v>20.5</v>
      </c>
      <c r="H19" s="41">
        <v>20.41</v>
      </c>
      <c r="I19" s="41">
        <v>22.33</v>
      </c>
      <c r="J19" s="41">
        <v>24</v>
      </c>
      <c r="K19" s="41">
        <v>12</v>
      </c>
      <c r="L19" s="41">
        <v>22.5</v>
      </c>
      <c r="M19" s="41">
        <v>13.75</v>
      </c>
      <c r="N19" s="41">
        <v>22.5</v>
      </c>
      <c r="O19" s="41">
        <v>21.25</v>
      </c>
      <c r="P19" s="18">
        <v>10.5</v>
      </c>
      <c r="Q19" s="41">
        <v>9.83</v>
      </c>
      <c r="R19" s="41">
        <v>11.83</v>
      </c>
      <c r="S19" s="41">
        <v>8</v>
      </c>
      <c r="T19" s="45">
        <v>23.91</v>
      </c>
      <c r="U19" s="41">
        <v>2.33</v>
      </c>
      <c r="V19" s="42">
        <v>14</v>
      </c>
      <c r="W19" s="54">
        <v>0</v>
      </c>
      <c r="X19" s="48">
        <v>2.92</v>
      </c>
      <c r="Y19" s="41">
        <v>13.92</v>
      </c>
      <c r="Z19" s="41">
        <v>22.5</v>
      </c>
      <c r="AA19" s="41">
        <v>20</v>
      </c>
      <c r="AB19" s="48">
        <v>20</v>
      </c>
      <c r="AC19" s="41">
        <v>0</v>
      </c>
      <c r="AD19" s="48">
        <v>0</v>
      </c>
      <c r="AE19" s="41">
        <v>5.33</v>
      </c>
      <c r="AF19" s="10">
        <v>8.75</v>
      </c>
      <c r="AG19" s="41">
        <v>0</v>
      </c>
      <c r="AH19" s="23" t="e">
        <f>AH16/AH20</f>
        <v>#DIV/0!</v>
      </c>
    </row>
    <row r="20" spans="1:34" x14ac:dyDescent="0.35">
      <c r="A20" s="52"/>
      <c r="B20" s="8" t="s">
        <v>35</v>
      </c>
      <c r="C20" s="18">
        <v>283.75</v>
      </c>
      <c r="D20" s="10">
        <v>188.08763121862162</v>
      </c>
      <c r="E20" s="26">
        <v>216.22727272727272</v>
      </c>
      <c r="F20" s="18">
        <v>179.5</v>
      </c>
      <c r="G20" s="18">
        <v>226.97560975609755</v>
      </c>
      <c r="H20" s="18">
        <v>154.33610975012249</v>
      </c>
      <c r="I20" s="18">
        <v>183.29601433049712</v>
      </c>
      <c r="J20" s="18">
        <v>207.79166666666666</v>
      </c>
      <c r="K20" s="18">
        <v>341.58333333333331</v>
      </c>
      <c r="L20" s="18">
        <v>193.33333333333334</v>
      </c>
      <c r="M20" s="18">
        <v>145.96363636363637</v>
      </c>
      <c r="N20" s="18">
        <v>184</v>
      </c>
      <c r="O20" s="18">
        <v>144.37647058823529</v>
      </c>
      <c r="P20" s="18">
        <v>114.28571428571429</v>
      </c>
      <c r="Q20" s="26">
        <v>156.86673448626652</v>
      </c>
      <c r="R20" s="26">
        <v>199.57734573119188</v>
      </c>
      <c r="S20" s="18">
        <v>150.75</v>
      </c>
      <c r="T20" s="27">
        <v>196.94688414889168</v>
      </c>
      <c r="U20" s="28">
        <v>169.52789699570815</v>
      </c>
      <c r="V20" s="28">
        <v>179.64285714285714</v>
      </c>
      <c r="W20" s="55" t="e">
        <v>#DIV/0!</v>
      </c>
      <c r="X20" s="56">
        <v>142.46575342465755</v>
      </c>
      <c r="Y20" s="28">
        <v>129.74137931034483</v>
      </c>
      <c r="Z20" s="28">
        <v>200.35555555555555</v>
      </c>
      <c r="AA20" s="28">
        <v>150.6</v>
      </c>
      <c r="AB20" s="56">
        <v>184.9</v>
      </c>
      <c r="AC20" s="28" t="e">
        <v>#DIV/0!</v>
      </c>
      <c r="AD20" s="56" t="e">
        <v>#DIV/0!</v>
      </c>
      <c r="AE20" s="28">
        <v>164.91557223264539</v>
      </c>
      <c r="AF20" s="10">
        <v>178.74285714285713</v>
      </c>
      <c r="AG20" s="18" t="e">
        <v>#DIV/0!</v>
      </c>
      <c r="AH20" s="57" t="e">
        <f>AVERAGE(C20:AG20)</f>
        <v>#DIV/0!</v>
      </c>
    </row>
    <row r="21" spans="1:34" x14ac:dyDescent="0.35">
      <c r="A21" s="58"/>
      <c r="B21" s="8" t="s">
        <v>36</v>
      </c>
      <c r="C21" s="18">
        <v>572</v>
      </c>
      <c r="D21" s="10">
        <v>2896</v>
      </c>
      <c r="E21" s="18">
        <v>2178</v>
      </c>
      <c r="F21" s="18">
        <v>1657</v>
      </c>
      <c r="G21" s="18">
        <v>1695</v>
      </c>
      <c r="H21" s="18">
        <v>614</v>
      </c>
      <c r="I21" s="18">
        <v>3109</v>
      </c>
      <c r="J21" s="18">
        <v>2485</v>
      </c>
      <c r="K21" s="18">
        <v>3376</v>
      </c>
      <c r="L21" s="18">
        <v>3260</v>
      </c>
      <c r="M21" s="18">
        <v>4205</v>
      </c>
      <c r="N21" s="18">
        <v>2882</v>
      </c>
      <c r="O21" s="18">
        <v>2172</v>
      </c>
      <c r="P21" s="18">
        <v>660</v>
      </c>
      <c r="Q21" s="18">
        <v>60</v>
      </c>
      <c r="R21" s="18">
        <v>1558</v>
      </c>
      <c r="S21" s="18">
        <v>770</v>
      </c>
      <c r="T21" s="20">
        <v>2193</v>
      </c>
      <c r="U21" s="28">
        <v>0</v>
      </c>
      <c r="V21" s="28">
        <v>0</v>
      </c>
      <c r="W21" s="55">
        <v>527</v>
      </c>
      <c r="X21" s="56">
        <v>13</v>
      </c>
      <c r="Y21" s="28">
        <v>1217</v>
      </c>
      <c r="Z21" s="28">
        <v>2312</v>
      </c>
      <c r="AA21" s="28">
        <v>2593</v>
      </c>
      <c r="AB21" s="56">
        <v>1332</v>
      </c>
      <c r="AC21" s="28">
        <v>0</v>
      </c>
      <c r="AD21" s="56">
        <v>0</v>
      </c>
      <c r="AE21" s="28">
        <v>0</v>
      </c>
      <c r="AF21" s="10">
        <v>0</v>
      </c>
      <c r="AG21" s="18">
        <v>0</v>
      </c>
      <c r="AH21" s="59">
        <f>SUM(C21:AG21)</f>
        <v>44336</v>
      </c>
    </row>
    <row r="22" spans="1:34" ht="18.5" x14ac:dyDescent="0.45">
      <c r="A22" s="50" t="s">
        <v>37</v>
      </c>
      <c r="B22" s="8" t="s">
        <v>38</v>
      </c>
      <c r="C22" s="18">
        <v>52.527027027027017</v>
      </c>
      <c r="D22" s="10">
        <v>53.919847328244266</v>
      </c>
      <c r="E22" s="26">
        <v>54.319767441860463</v>
      </c>
      <c r="F22" s="18">
        <v>55.258928571428569</v>
      </c>
      <c r="G22" s="18">
        <v>58.197580645161288</v>
      </c>
      <c r="H22" s="18">
        <v>62.843137254901976</v>
      </c>
      <c r="I22" s="18">
        <v>64.909793814432987</v>
      </c>
      <c r="J22" s="18" t="e">
        <v>#DIV/0!</v>
      </c>
      <c r="K22" s="18">
        <v>61.736301369863007</v>
      </c>
      <c r="L22" s="18">
        <v>52.811320754716988</v>
      </c>
      <c r="M22" s="18">
        <v>49.760000000000012</v>
      </c>
      <c r="N22" s="18">
        <v>63.674999999999997</v>
      </c>
      <c r="O22" s="18">
        <v>55.748201438848916</v>
      </c>
      <c r="P22" s="18">
        <v>54.311827956989241</v>
      </c>
      <c r="Q22" s="26">
        <v>48.669117647058826</v>
      </c>
      <c r="R22" s="18">
        <v>50.673913043478258</v>
      </c>
      <c r="S22" s="18">
        <v>53.164670658682645</v>
      </c>
      <c r="T22" s="60">
        <v>52.645161290322577</v>
      </c>
      <c r="U22" s="18">
        <v>50.172413793103445</v>
      </c>
      <c r="V22" s="61">
        <v>53.447727272727263</v>
      </c>
      <c r="W22" s="21">
        <v>51.715025906735747</v>
      </c>
      <c r="X22" s="22">
        <v>54.681818181818187</v>
      </c>
      <c r="Y22" s="18">
        <v>53.666037735849052</v>
      </c>
      <c r="Z22" s="18">
        <v>51.209999999999994</v>
      </c>
      <c r="AA22" s="18">
        <v>54.629629629629626</v>
      </c>
      <c r="AB22" s="22">
        <v>58.68333333333333</v>
      </c>
      <c r="AC22" s="18" t="e">
        <v>#DIV/0!</v>
      </c>
      <c r="AD22" s="22" t="e">
        <v>#DIV/0!</v>
      </c>
      <c r="AE22" s="18">
        <v>64.533582089552226</v>
      </c>
      <c r="AF22" s="10">
        <v>61.591603053435108</v>
      </c>
      <c r="AG22" s="18">
        <v>64.766129032258064</v>
      </c>
      <c r="AH22" s="23">
        <f>AH31/AH37/8</f>
        <v>55.647565618112601</v>
      </c>
    </row>
    <row r="23" spans="1:34" x14ac:dyDescent="0.35">
      <c r="A23" s="52"/>
      <c r="B23" s="8" t="s">
        <v>39</v>
      </c>
      <c r="C23" s="18">
        <v>52.527027027027025</v>
      </c>
      <c r="D23" s="10">
        <v>51.897321428571431</v>
      </c>
      <c r="E23" s="26">
        <v>53.816287878787882</v>
      </c>
      <c r="F23" s="18">
        <v>0</v>
      </c>
      <c r="G23" s="18">
        <v>58.216360116166506</v>
      </c>
      <c r="H23" s="18">
        <v>58.886054421768712</v>
      </c>
      <c r="I23" s="18">
        <v>68.051575931232094</v>
      </c>
      <c r="J23" s="18" t="e">
        <v>#DIV/0!</v>
      </c>
      <c r="K23" s="18">
        <v>61.719391947411665</v>
      </c>
      <c r="L23" s="18">
        <v>52.771493212669682</v>
      </c>
      <c r="M23" s="18">
        <v>48.652173913043477</v>
      </c>
      <c r="N23" s="18" t="e">
        <v>#DIV/0!</v>
      </c>
      <c r="O23" s="18">
        <v>56.235431235431236</v>
      </c>
      <c r="P23" s="18">
        <v>54.517684887459808</v>
      </c>
      <c r="Q23" s="18">
        <v>47.291666666666664</v>
      </c>
      <c r="R23" s="18">
        <v>45.609756097560975</v>
      </c>
      <c r="S23" s="18">
        <v>50.800492610837445</v>
      </c>
      <c r="T23" s="60" t="e">
        <v>#DIV/0!</v>
      </c>
      <c r="U23" s="18">
        <v>49</v>
      </c>
      <c r="V23" s="18">
        <v>51.537822111388202</v>
      </c>
      <c r="W23" s="18">
        <v>49.512987012987018</v>
      </c>
      <c r="X23" s="18">
        <v>50</v>
      </c>
      <c r="Y23" s="18">
        <v>51.465798045602604</v>
      </c>
      <c r="Z23" s="18">
        <v>44.96875</v>
      </c>
      <c r="AA23" s="18">
        <v>49.861111111111114</v>
      </c>
      <c r="AB23" s="22">
        <v>55.5</v>
      </c>
      <c r="AC23" s="18">
        <v>0</v>
      </c>
      <c r="AD23" s="22">
        <v>0</v>
      </c>
      <c r="AE23" s="18" t="e">
        <v>#DIV/0!</v>
      </c>
      <c r="AF23" s="10" t="e">
        <v>#DIV/0!</v>
      </c>
      <c r="AG23" s="18" t="e">
        <v>#DIV/0!</v>
      </c>
      <c r="AH23" s="23">
        <f>AH32/AH38/8</f>
        <v>48.548836284066041</v>
      </c>
    </row>
    <row r="24" spans="1:34" x14ac:dyDescent="0.35">
      <c r="A24" s="52"/>
      <c r="B24" s="8" t="s">
        <v>40</v>
      </c>
      <c r="C24" s="18">
        <v>0</v>
      </c>
      <c r="D24" s="62">
        <v>57.113095238095234</v>
      </c>
      <c r="E24" s="26">
        <v>55.120481927710841</v>
      </c>
      <c r="F24" s="18">
        <v>55.278670953912112</v>
      </c>
      <c r="G24" s="18">
        <v>0</v>
      </c>
      <c r="H24" s="18">
        <v>66.229985443959237</v>
      </c>
      <c r="I24" s="18">
        <v>59.100877192982452</v>
      </c>
      <c r="J24" s="18" t="e">
        <v>#DIV/0!</v>
      </c>
      <c r="K24" s="18" t="e">
        <v>#DIV/0!</v>
      </c>
      <c r="L24" s="18" t="e">
        <v>#DIV/0!</v>
      </c>
      <c r="M24" s="18">
        <v>62.5</v>
      </c>
      <c r="N24" s="18">
        <v>61.625</v>
      </c>
      <c r="O24" s="18">
        <v>50</v>
      </c>
      <c r="P24" s="18">
        <v>53.896103896103895</v>
      </c>
      <c r="Q24" s="18">
        <v>51.975000000000001</v>
      </c>
      <c r="R24" s="18" t="e">
        <v>#DIV/0!</v>
      </c>
      <c r="S24" s="18">
        <v>56.443965517241381</v>
      </c>
      <c r="T24" s="60">
        <v>52.611218568665379</v>
      </c>
      <c r="U24" s="18" t="e">
        <v>#DIV/0!</v>
      </c>
      <c r="V24" s="63">
        <v>57.123015873015873</v>
      </c>
      <c r="W24" s="18">
        <v>56.226415094339622</v>
      </c>
      <c r="X24" s="18">
        <v>59.196428571428577</v>
      </c>
      <c r="Y24" s="18">
        <v>58.681930693069283</v>
      </c>
      <c r="Z24" s="18">
        <v>56.949250288350633</v>
      </c>
      <c r="AA24" s="18">
        <v>58.444444444444443</v>
      </c>
      <c r="AB24" s="22">
        <v>61.23</v>
      </c>
      <c r="AC24" s="18">
        <v>0</v>
      </c>
      <c r="AD24" s="22">
        <v>0</v>
      </c>
      <c r="AE24" s="18">
        <v>68.84999999999998</v>
      </c>
      <c r="AF24" s="10">
        <v>60.833631165117936</v>
      </c>
      <c r="AG24" s="18">
        <v>0</v>
      </c>
      <c r="AH24" s="23">
        <f>+AH34/AH39/8</f>
        <v>67.805491158076336</v>
      </c>
    </row>
    <row r="25" spans="1:34" ht="18.5" x14ac:dyDescent="0.45">
      <c r="A25" s="52"/>
      <c r="B25" s="8" t="s">
        <v>41</v>
      </c>
      <c r="C25" s="18">
        <v>0</v>
      </c>
      <c r="D25" s="19">
        <v>0</v>
      </c>
      <c r="E25" s="26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65.724999999999994</v>
      </c>
      <c r="O25" s="18">
        <v>56.625</v>
      </c>
      <c r="P25" s="18">
        <v>0</v>
      </c>
      <c r="Q25" s="26" t="e">
        <v>#DIV/0!</v>
      </c>
      <c r="R25" s="18">
        <v>58.035714285714285</v>
      </c>
      <c r="S25" s="18" t="e">
        <v>#DIV/0!</v>
      </c>
      <c r="T25" s="60" t="e">
        <v>#DIV/0!</v>
      </c>
      <c r="U25" s="18">
        <v>57.5</v>
      </c>
      <c r="V25" s="61" t="e">
        <v>#DIV/0!</v>
      </c>
      <c r="W25" s="21" t="e">
        <v>#DIV/0!</v>
      </c>
      <c r="X25" s="22">
        <v>0</v>
      </c>
      <c r="Y25" s="18">
        <v>0</v>
      </c>
      <c r="Z25" s="18">
        <v>0</v>
      </c>
      <c r="AA25" s="18">
        <v>0</v>
      </c>
      <c r="AB25" s="22">
        <v>0</v>
      </c>
      <c r="AC25" s="18" t="e">
        <v>#DIV/0!</v>
      </c>
      <c r="AD25" s="22" t="e">
        <v>#DIV/0!</v>
      </c>
      <c r="AE25" s="18">
        <v>61.964285714285715</v>
      </c>
      <c r="AF25" s="10">
        <v>66.037735849056602</v>
      </c>
      <c r="AG25" s="18">
        <v>64.787028073572117</v>
      </c>
      <c r="AH25" s="23" t="e">
        <f>AH34/AH40/8</f>
        <v>#DIV/0!</v>
      </c>
    </row>
    <row r="26" spans="1:34" x14ac:dyDescent="0.35">
      <c r="A26" s="52"/>
      <c r="B26" s="8" t="s">
        <v>42</v>
      </c>
      <c r="C26" s="18">
        <v>0</v>
      </c>
      <c r="D26" s="10">
        <v>172</v>
      </c>
      <c r="E26" s="18">
        <v>541</v>
      </c>
      <c r="F26" s="18">
        <v>532</v>
      </c>
      <c r="G26" s="18">
        <v>0</v>
      </c>
      <c r="H26" s="18">
        <v>429</v>
      </c>
      <c r="I26" s="18">
        <v>327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507</v>
      </c>
      <c r="Q26" s="18">
        <v>240</v>
      </c>
      <c r="R26" s="18">
        <v>136</v>
      </c>
      <c r="S26" s="18">
        <v>423</v>
      </c>
      <c r="T26" s="20">
        <v>319</v>
      </c>
      <c r="U26" s="18">
        <v>288</v>
      </c>
      <c r="V26" s="10">
        <v>530</v>
      </c>
      <c r="W26" s="21">
        <v>403</v>
      </c>
      <c r="X26" s="22">
        <v>684</v>
      </c>
      <c r="Y26" s="18">
        <v>641</v>
      </c>
      <c r="Z26" s="18">
        <v>638</v>
      </c>
      <c r="AA26" s="18">
        <v>850</v>
      </c>
      <c r="AB26" s="22">
        <v>1039</v>
      </c>
      <c r="AC26" s="18">
        <v>0</v>
      </c>
      <c r="AD26" s="22">
        <v>0</v>
      </c>
      <c r="AE26" s="18">
        <v>0</v>
      </c>
      <c r="AF26" s="10">
        <v>0</v>
      </c>
      <c r="AG26" s="18">
        <v>316</v>
      </c>
      <c r="AH26" s="23">
        <f>SUM(C26:AG26)</f>
        <v>9015</v>
      </c>
    </row>
    <row r="27" spans="1:34" x14ac:dyDescent="0.35">
      <c r="A27" s="52"/>
      <c r="B27" s="8" t="s">
        <v>43</v>
      </c>
      <c r="C27" s="64">
        <v>0.15279999999999999</v>
      </c>
      <c r="D27" s="65">
        <v>0.15329999999999999</v>
      </c>
      <c r="E27" s="64">
        <v>0.15379999999999999</v>
      </c>
      <c r="F27" s="64">
        <v>0.15690000000000001</v>
      </c>
      <c r="G27" s="64">
        <v>0.15049999999999999</v>
      </c>
      <c r="H27" s="64">
        <v>0.14499999999999999</v>
      </c>
      <c r="I27" s="64">
        <v>0.1459</v>
      </c>
      <c r="J27" s="64">
        <v>0</v>
      </c>
      <c r="K27" s="64">
        <v>0.1449</v>
      </c>
      <c r="L27" s="64">
        <v>0.15240000000000001</v>
      </c>
      <c r="M27" s="64">
        <v>0.15859999999999999</v>
      </c>
      <c r="N27" s="64">
        <v>0.1457</v>
      </c>
      <c r="O27" s="64">
        <v>0.15110000000000001</v>
      </c>
      <c r="P27" s="64">
        <v>0.1575</v>
      </c>
      <c r="Q27" s="66">
        <v>0.16439999999999999</v>
      </c>
      <c r="R27" s="64">
        <v>0.1578</v>
      </c>
      <c r="S27" s="64">
        <v>0.1648</v>
      </c>
      <c r="T27" s="67">
        <v>0.16789999999999999</v>
      </c>
      <c r="U27" s="64">
        <v>0.1646</v>
      </c>
      <c r="V27" s="68">
        <v>0.15859999999999999</v>
      </c>
      <c r="W27" s="69">
        <v>0.16489999999999999</v>
      </c>
      <c r="X27" s="70">
        <v>0.1585</v>
      </c>
      <c r="Y27" s="64">
        <v>0.15590000000000001</v>
      </c>
      <c r="Z27" s="64">
        <v>0.15959999999999999</v>
      </c>
      <c r="AA27" s="64">
        <v>0.1656</v>
      </c>
      <c r="AB27" s="70">
        <v>0.16059999999999999</v>
      </c>
      <c r="AC27" s="64">
        <v>0</v>
      </c>
      <c r="AD27" s="70">
        <v>0</v>
      </c>
      <c r="AE27" s="64">
        <v>0.1522</v>
      </c>
      <c r="AF27" s="64">
        <v>0.15240000000000001</v>
      </c>
      <c r="AG27" s="64">
        <v>0.15060000000000001</v>
      </c>
      <c r="AH27" s="38">
        <f>+AVERAGEIF(C27:AG27,"&gt;0")</f>
        <v>0.15595714285714285</v>
      </c>
    </row>
    <row r="28" spans="1:34" x14ac:dyDescent="0.35">
      <c r="A28" s="52"/>
      <c r="B28" s="8" t="s">
        <v>44</v>
      </c>
      <c r="C28" s="64">
        <v>3.61E-2</v>
      </c>
      <c r="D28" s="71">
        <v>3.5999999999999997E-2</v>
      </c>
      <c r="E28" s="72">
        <v>3.7199999999999997E-2</v>
      </c>
      <c r="F28" s="64">
        <v>0</v>
      </c>
      <c r="G28" s="64">
        <v>3.5799999999999998E-2</v>
      </c>
      <c r="H28" s="64">
        <v>3.5499999999999997E-2</v>
      </c>
      <c r="I28" s="64">
        <v>3.5499999999999997E-2</v>
      </c>
      <c r="J28" s="64">
        <v>0</v>
      </c>
      <c r="K28" s="64">
        <v>3.7100000000000001E-2</v>
      </c>
      <c r="L28" s="64">
        <v>3.5700000000000003E-2</v>
      </c>
      <c r="M28" s="64">
        <v>3.5999999999999997E-2</v>
      </c>
      <c r="N28" s="64">
        <v>0</v>
      </c>
      <c r="O28" s="64">
        <v>3.5900000000000001E-2</v>
      </c>
      <c r="P28" s="64">
        <v>3.5099999999999999E-2</v>
      </c>
      <c r="Q28" s="72">
        <v>3.6900000000000002E-2</v>
      </c>
      <c r="R28" s="64">
        <v>3.5700000000000003E-2</v>
      </c>
      <c r="S28" s="64">
        <v>3.7100000000000001E-2</v>
      </c>
      <c r="T28" s="73">
        <v>0</v>
      </c>
      <c r="U28" s="64">
        <v>3.6700000000000003E-2</v>
      </c>
      <c r="V28" s="74">
        <v>3.5000000000000003E-2</v>
      </c>
      <c r="W28" s="69">
        <v>3.6700000000000003E-2</v>
      </c>
      <c r="X28" s="70">
        <v>3.6700000000000003E-2</v>
      </c>
      <c r="Y28" s="64">
        <v>3.6299999999999999E-2</v>
      </c>
      <c r="Z28" s="64">
        <v>3.6499999999999998E-2</v>
      </c>
      <c r="AA28" s="64">
        <v>3.5799999999999998E-2</v>
      </c>
      <c r="AB28" s="70">
        <v>3.7400000000000003E-2</v>
      </c>
      <c r="AC28" s="64">
        <v>0</v>
      </c>
      <c r="AD28" s="70">
        <v>0</v>
      </c>
      <c r="AE28" s="64">
        <v>0</v>
      </c>
      <c r="AF28" s="68">
        <v>0</v>
      </c>
      <c r="AG28" s="64">
        <v>0</v>
      </c>
      <c r="AH28" s="38">
        <f t="shared" ref="AH28:AH30" si="1">+AVERAGEIF(C28:AG28,"&gt;0")</f>
        <v>3.6213636363636358E-2</v>
      </c>
    </row>
    <row r="29" spans="1:34" x14ac:dyDescent="0.35">
      <c r="A29" s="52"/>
      <c r="B29" s="8" t="s">
        <v>45</v>
      </c>
      <c r="C29" s="64">
        <v>0</v>
      </c>
      <c r="D29" s="68">
        <v>5.3600000000000002E-2</v>
      </c>
      <c r="E29" s="75">
        <v>5.4800000000000001E-2</v>
      </c>
      <c r="F29" s="64">
        <v>5.5199999999999999E-2</v>
      </c>
      <c r="G29" s="64">
        <v>0</v>
      </c>
      <c r="H29" s="64">
        <v>5.4899999999999997E-2</v>
      </c>
      <c r="I29" s="64">
        <v>5.4899999999999997E-2</v>
      </c>
      <c r="J29" s="64">
        <v>0</v>
      </c>
      <c r="K29" s="64">
        <v>0</v>
      </c>
      <c r="L29" s="64">
        <v>0</v>
      </c>
      <c r="M29" s="64">
        <v>5.5199999999999999E-2</v>
      </c>
      <c r="N29" s="64">
        <v>5.4899999999999997E-2</v>
      </c>
      <c r="O29" s="64">
        <v>5.5199999999999999E-2</v>
      </c>
      <c r="P29" s="64">
        <v>5.5399999999999998E-2</v>
      </c>
      <c r="Q29" s="72">
        <v>5.5500000000000001E-2</v>
      </c>
      <c r="R29" s="64">
        <v>0</v>
      </c>
      <c r="S29" s="64">
        <v>5.5E-2</v>
      </c>
      <c r="T29" s="73">
        <v>5.4399999999999997E-2</v>
      </c>
      <c r="U29" s="64">
        <v>0</v>
      </c>
      <c r="V29" s="74">
        <v>5.5599999999999997E-2</v>
      </c>
      <c r="W29" s="69">
        <v>5.2699999999999997E-2</v>
      </c>
      <c r="X29" s="70">
        <v>5.5599999999999997E-2</v>
      </c>
      <c r="Y29" s="64">
        <v>5.5100000000000003E-2</v>
      </c>
      <c r="Z29" s="64">
        <v>5.5E-2</v>
      </c>
      <c r="AA29" s="64">
        <v>5.5199999999999999E-2</v>
      </c>
      <c r="AB29" s="70">
        <v>5.5E-2</v>
      </c>
      <c r="AC29" s="64">
        <v>0</v>
      </c>
      <c r="AD29" s="70">
        <v>0</v>
      </c>
      <c r="AE29" s="64">
        <v>5.6500000000000002E-2</v>
      </c>
      <c r="AF29" s="68">
        <v>5.6500000000000002E-2</v>
      </c>
      <c r="AG29" s="64">
        <v>0</v>
      </c>
      <c r="AH29" s="38">
        <f t="shared" si="1"/>
        <v>5.505714285714286E-2</v>
      </c>
    </row>
    <row r="30" spans="1:34" x14ac:dyDescent="0.35">
      <c r="A30" s="52"/>
      <c r="B30" s="8" t="s">
        <v>46</v>
      </c>
      <c r="C30" s="76">
        <v>0</v>
      </c>
      <c r="D30" s="77">
        <v>0</v>
      </c>
      <c r="E30" s="72">
        <v>0</v>
      </c>
      <c r="F30" s="76">
        <v>0</v>
      </c>
      <c r="G30" s="64">
        <v>0</v>
      </c>
      <c r="H30" s="78">
        <v>0</v>
      </c>
      <c r="I30" s="78">
        <v>0</v>
      </c>
      <c r="J30" s="76">
        <v>0</v>
      </c>
      <c r="K30" s="76">
        <v>0</v>
      </c>
      <c r="L30" s="79">
        <v>0</v>
      </c>
      <c r="M30" s="80">
        <v>0</v>
      </c>
      <c r="N30" s="76">
        <v>3.7499999999999999E-2</v>
      </c>
      <c r="O30" s="79">
        <v>3.7499999999999999E-2</v>
      </c>
      <c r="P30" s="76">
        <v>0</v>
      </c>
      <c r="Q30" s="72">
        <v>0</v>
      </c>
      <c r="R30" s="76">
        <v>3.49E-2</v>
      </c>
      <c r="S30" s="76">
        <v>0</v>
      </c>
      <c r="T30" s="73">
        <v>0</v>
      </c>
      <c r="U30" s="76">
        <v>3.5400000000000001E-2</v>
      </c>
      <c r="V30" s="74">
        <v>0</v>
      </c>
      <c r="W30" s="81">
        <v>0</v>
      </c>
      <c r="X30" s="82">
        <v>0</v>
      </c>
      <c r="Y30" s="76">
        <v>0</v>
      </c>
      <c r="Z30" s="76">
        <v>0</v>
      </c>
      <c r="AA30" s="76">
        <v>0</v>
      </c>
      <c r="AB30" s="82">
        <v>0</v>
      </c>
      <c r="AC30" s="76">
        <v>0</v>
      </c>
      <c r="AD30" s="82">
        <v>0</v>
      </c>
      <c r="AE30" s="76">
        <v>3.5299999999999998E-2</v>
      </c>
      <c r="AF30" s="10">
        <v>3.6600000000000001E-2</v>
      </c>
      <c r="AG30" s="76">
        <v>3.6600000000000001E-2</v>
      </c>
      <c r="AH30" s="38">
        <f t="shared" si="1"/>
        <v>3.6257142857142856E-2</v>
      </c>
    </row>
    <row r="31" spans="1:34" ht="18.5" x14ac:dyDescent="0.45">
      <c r="A31" s="52"/>
      <c r="B31" s="8" t="s">
        <v>47</v>
      </c>
      <c r="C31" s="18">
        <v>3887</v>
      </c>
      <c r="D31" s="10">
        <v>4709</v>
      </c>
      <c r="E31" s="18">
        <v>9343</v>
      </c>
      <c r="F31" s="18">
        <v>4126</v>
      </c>
      <c r="G31" s="18">
        <v>4811</v>
      </c>
      <c r="H31" s="18">
        <v>6410</v>
      </c>
      <c r="I31" s="18">
        <v>8395</v>
      </c>
      <c r="J31" s="18">
        <v>0</v>
      </c>
      <c r="K31" s="18">
        <v>6009</v>
      </c>
      <c r="L31" s="18">
        <v>1866</v>
      </c>
      <c r="M31" s="18">
        <v>4976</v>
      </c>
      <c r="N31" s="18">
        <v>10188</v>
      </c>
      <c r="O31" s="18">
        <v>5166</v>
      </c>
      <c r="P31" s="18">
        <v>10102</v>
      </c>
      <c r="Q31" s="18">
        <v>6619</v>
      </c>
      <c r="R31" s="18">
        <v>6993</v>
      </c>
      <c r="S31" s="18">
        <v>5919</v>
      </c>
      <c r="T31" s="60">
        <v>2176</v>
      </c>
      <c r="U31" s="18">
        <v>8730</v>
      </c>
      <c r="V31" s="83">
        <v>7839</v>
      </c>
      <c r="W31" s="21">
        <v>6654</v>
      </c>
      <c r="X31" s="22">
        <v>8020</v>
      </c>
      <c r="Y31" s="18">
        <v>9481</v>
      </c>
      <c r="Z31" s="18">
        <v>6828</v>
      </c>
      <c r="AA31" s="18">
        <v>8850</v>
      </c>
      <c r="AB31" s="22">
        <v>10563</v>
      </c>
      <c r="AC31" s="18">
        <v>0</v>
      </c>
      <c r="AD31" s="22">
        <v>0</v>
      </c>
      <c r="AE31" s="18">
        <v>5765</v>
      </c>
      <c r="AF31" s="10">
        <v>5379</v>
      </c>
      <c r="AG31" s="18">
        <v>5354</v>
      </c>
      <c r="AH31" s="23">
        <f>SUM(C31:AG31)</f>
        <v>185158</v>
      </c>
    </row>
    <row r="32" spans="1:34" ht="15.5" x14ac:dyDescent="0.35">
      <c r="A32" s="52"/>
      <c r="B32" s="8" t="s">
        <v>48</v>
      </c>
      <c r="C32" s="76">
        <v>3887</v>
      </c>
      <c r="D32" s="77">
        <v>2790</v>
      </c>
      <c r="E32" s="76">
        <v>5683</v>
      </c>
      <c r="F32" s="76">
        <v>0</v>
      </c>
      <c r="G32" s="76">
        <v>4811</v>
      </c>
      <c r="H32" s="76">
        <v>2770</v>
      </c>
      <c r="I32" s="76">
        <v>5700</v>
      </c>
      <c r="J32" s="76">
        <v>0</v>
      </c>
      <c r="K32" s="76">
        <v>6009</v>
      </c>
      <c r="L32" s="76">
        <v>1866</v>
      </c>
      <c r="M32" s="76">
        <v>4476</v>
      </c>
      <c r="N32" s="76">
        <v>0</v>
      </c>
      <c r="O32" s="76">
        <v>3860</v>
      </c>
      <c r="P32" s="76">
        <v>6782</v>
      </c>
      <c r="Q32" s="76">
        <v>4540</v>
      </c>
      <c r="R32" s="76">
        <v>3740</v>
      </c>
      <c r="S32" s="76">
        <v>3300</v>
      </c>
      <c r="T32" s="84">
        <v>0</v>
      </c>
      <c r="U32" s="76">
        <v>7350</v>
      </c>
      <c r="V32" s="85">
        <v>4960</v>
      </c>
      <c r="W32" s="81">
        <v>4270</v>
      </c>
      <c r="X32" s="82">
        <v>3600</v>
      </c>
      <c r="Y32" s="76">
        <v>6320</v>
      </c>
      <c r="Z32" s="18">
        <v>2878</v>
      </c>
      <c r="AA32" s="18">
        <v>3590</v>
      </c>
      <c r="AB32" s="22">
        <v>4440</v>
      </c>
      <c r="AC32" s="18">
        <v>0</v>
      </c>
      <c r="AD32" s="22">
        <v>0</v>
      </c>
      <c r="AE32" s="18">
        <v>0</v>
      </c>
      <c r="AF32" s="10">
        <v>0</v>
      </c>
      <c r="AG32" s="18">
        <v>0</v>
      </c>
      <c r="AH32" s="23">
        <f>SUM(C32:AG32)</f>
        <v>97622</v>
      </c>
    </row>
    <row r="33" spans="1:34" ht="15.5" x14ac:dyDescent="0.35">
      <c r="A33" s="52"/>
      <c r="B33" s="8"/>
      <c r="C33" s="76">
        <v>0</v>
      </c>
      <c r="D33" s="77"/>
      <c r="E33" s="86">
        <v>5683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84">
        <v>0</v>
      </c>
      <c r="U33" s="76">
        <v>0</v>
      </c>
      <c r="V33" s="85">
        <v>0</v>
      </c>
      <c r="W33" s="81">
        <v>0</v>
      </c>
      <c r="X33" s="82">
        <v>0</v>
      </c>
      <c r="Y33" s="76">
        <v>0</v>
      </c>
      <c r="Z33" s="18">
        <v>0</v>
      </c>
      <c r="AA33" s="18">
        <v>0</v>
      </c>
      <c r="AB33" s="22">
        <v>0</v>
      </c>
      <c r="AC33" s="18">
        <v>0</v>
      </c>
      <c r="AD33" s="22">
        <v>0</v>
      </c>
      <c r="AE33" s="18">
        <v>0</v>
      </c>
      <c r="AF33" s="10">
        <v>0</v>
      </c>
      <c r="AG33" s="18">
        <v>0</v>
      </c>
      <c r="AH33" s="23"/>
    </row>
    <row r="34" spans="1:34" ht="15.5" x14ac:dyDescent="0.35">
      <c r="A34" s="52"/>
      <c r="B34" s="8" t="s">
        <v>49</v>
      </c>
      <c r="C34" s="76">
        <v>0</v>
      </c>
      <c r="D34" s="77">
        <v>1919</v>
      </c>
      <c r="E34" s="87">
        <v>3660</v>
      </c>
      <c r="F34" s="76">
        <v>4126</v>
      </c>
      <c r="G34" s="76">
        <v>0</v>
      </c>
      <c r="H34" s="76">
        <v>3640</v>
      </c>
      <c r="I34" s="76">
        <v>2695</v>
      </c>
      <c r="J34" s="76">
        <v>0</v>
      </c>
      <c r="K34" s="76">
        <v>0</v>
      </c>
      <c r="L34" s="76">
        <v>0</v>
      </c>
      <c r="M34" s="76">
        <v>500</v>
      </c>
      <c r="N34" s="76">
        <v>4930</v>
      </c>
      <c r="O34" s="76">
        <v>400</v>
      </c>
      <c r="P34" s="76">
        <v>3320</v>
      </c>
      <c r="Q34" s="82">
        <v>2079</v>
      </c>
      <c r="R34" s="76">
        <v>0</v>
      </c>
      <c r="S34" s="76">
        <v>2619</v>
      </c>
      <c r="T34" s="88">
        <v>2176</v>
      </c>
      <c r="U34" s="76">
        <v>0</v>
      </c>
      <c r="V34" s="89">
        <v>2879</v>
      </c>
      <c r="W34" s="81">
        <v>2384</v>
      </c>
      <c r="X34" s="82">
        <v>4420</v>
      </c>
      <c r="Y34" s="76">
        <v>3161</v>
      </c>
      <c r="Z34" s="18">
        <v>3950</v>
      </c>
      <c r="AA34" s="18">
        <v>5260</v>
      </c>
      <c r="AB34" s="22">
        <v>6123</v>
      </c>
      <c r="AC34" s="18">
        <v>0</v>
      </c>
      <c r="AD34" s="22">
        <v>0</v>
      </c>
      <c r="AE34" s="18">
        <v>2295</v>
      </c>
      <c r="AF34" s="10">
        <v>4539</v>
      </c>
      <c r="AG34" s="18">
        <v>0</v>
      </c>
      <c r="AH34" s="23">
        <f>SUM(C34:AG34)</f>
        <v>67075</v>
      </c>
    </row>
    <row r="35" spans="1:34" ht="18.5" x14ac:dyDescent="0.45">
      <c r="A35" s="52"/>
      <c r="B35" s="8" t="s">
        <v>50</v>
      </c>
      <c r="C35" s="76">
        <v>0</v>
      </c>
      <c r="D35" s="77">
        <v>0</v>
      </c>
      <c r="E35" s="90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/>
      <c r="P35" s="76"/>
      <c r="Q35" s="90"/>
      <c r="R35" s="76">
        <v>0</v>
      </c>
      <c r="S35" s="76">
        <v>0</v>
      </c>
      <c r="T35" s="91">
        <v>0</v>
      </c>
      <c r="U35" s="76">
        <v>0</v>
      </c>
      <c r="V35" s="92">
        <v>0</v>
      </c>
      <c r="W35" s="81">
        <v>0</v>
      </c>
      <c r="X35" s="82">
        <v>0</v>
      </c>
      <c r="Y35" s="76">
        <v>0</v>
      </c>
      <c r="Z35" s="18">
        <v>0</v>
      </c>
      <c r="AA35" s="18">
        <v>0</v>
      </c>
      <c r="AB35" s="22">
        <v>0</v>
      </c>
      <c r="AC35" s="18">
        <v>0</v>
      </c>
      <c r="AD35" s="22">
        <v>0</v>
      </c>
      <c r="AE35" s="18">
        <v>3470</v>
      </c>
      <c r="AF35" s="10">
        <v>840</v>
      </c>
      <c r="AG35" s="18">
        <v>5354</v>
      </c>
      <c r="AH35" s="23">
        <f>+SUM(C35:AG35)</f>
        <v>9664</v>
      </c>
    </row>
    <row r="36" spans="1:34" ht="18.5" x14ac:dyDescent="0.45">
      <c r="A36" s="58"/>
      <c r="B36" s="8" t="s">
        <v>51</v>
      </c>
      <c r="C36" s="76">
        <v>0</v>
      </c>
      <c r="D36" s="77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5258</v>
      </c>
      <c r="O36" s="76">
        <v>906</v>
      </c>
      <c r="P36" s="76">
        <v>0</v>
      </c>
      <c r="Q36" s="76">
        <v>0</v>
      </c>
      <c r="R36" s="76">
        <v>3250</v>
      </c>
      <c r="S36" s="76">
        <v>0</v>
      </c>
      <c r="T36" s="91">
        <v>0</v>
      </c>
      <c r="U36" s="76">
        <v>1380</v>
      </c>
      <c r="V36" s="92">
        <v>0</v>
      </c>
      <c r="W36" s="81">
        <v>0</v>
      </c>
      <c r="X36" s="82">
        <v>0</v>
      </c>
      <c r="Y36" s="76">
        <v>0</v>
      </c>
      <c r="Z36" s="18">
        <v>0</v>
      </c>
      <c r="AA36" s="18">
        <v>0</v>
      </c>
      <c r="AB36" s="22">
        <v>0</v>
      </c>
      <c r="AC36" s="18">
        <v>0</v>
      </c>
      <c r="AD36" s="22">
        <v>0</v>
      </c>
      <c r="AE36" s="18">
        <v>0</v>
      </c>
      <c r="AF36" s="10">
        <v>0</v>
      </c>
      <c r="AG36" s="18">
        <v>0</v>
      </c>
      <c r="AH36" s="23">
        <f>+SUM(C36:AG36)</f>
        <v>10794</v>
      </c>
    </row>
    <row r="37" spans="1:34" ht="15.5" x14ac:dyDescent="0.35">
      <c r="A37" s="93" t="s">
        <v>52</v>
      </c>
      <c r="B37" s="8" t="s">
        <v>30</v>
      </c>
      <c r="C37" s="94">
        <v>9.2500000000000018</v>
      </c>
      <c r="D37" s="95">
        <v>10.916666666666668</v>
      </c>
      <c r="E37" s="96">
        <v>21.5</v>
      </c>
      <c r="F37" s="94">
        <v>9.3333333333333339</v>
      </c>
      <c r="G37" s="76">
        <v>10.333333333333334</v>
      </c>
      <c r="H37" s="94">
        <v>12.749999999999996</v>
      </c>
      <c r="I37" s="94">
        <v>16.166666666666668</v>
      </c>
      <c r="J37" s="94">
        <v>0</v>
      </c>
      <c r="K37" s="97">
        <v>12.166666666666668</v>
      </c>
      <c r="L37" s="76">
        <v>4.4166666666666661</v>
      </c>
      <c r="M37" s="76">
        <v>12.499999999999996</v>
      </c>
      <c r="N37" s="76">
        <v>20</v>
      </c>
      <c r="O37" s="76">
        <v>11.583333333333334</v>
      </c>
      <c r="P37" s="76">
        <v>23.250000000000004</v>
      </c>
      <c r="Q37" s="96">
        <v>17</v>
      </c>
      <c r="R37" s="94">
        <v>17.25</v>
      </c>
      <c r="S37" s="94">
        <v>13.916666666666664</v>
      </c>
      <c r="T37" s="98">
        <v>5.166666666666667</v>
      </c>
      <c r="U37" s="97">
        <v>21.75</v>
      </c>
      <c r="V37" s="99">
        <v>18.333333333333336</v>
      </c>
      <c r="W37" s="100">
        <v>16.083333333333336</v>
      </c>
      <c r="X37" s="82">
        <v>18.333333333333332</v>
      </c>
      <c r="Y37" s="76">
        <v>22.083333333333336</v>
      </c>
      <c r="Z37" s="18">
        <v>16.666666666666668</v>
      </c>
      <c r="AA37" s="18">
        <v>20.25</v>
      </c>
      <c r="AB37" s="22">
        <v>22.5</v>
      </c>
      <c r="AC37" s="18">
        <v>0</v>
      </c>
      <c r="AD37" s="48">
        <v>0</v>
      </c>
      <c r="AE37" s="18">
        <v>11.166666666666668</v>
      </c>
      <c r="AF37" s="10">
        <v>10.916666666666668</v>
      </c>
      <c r="AG37" s="18">
        <v>10.333333333333334</v>
      </c>
      <c r="AH37" s="101">
        <f t="shared" ref="AH37:AH51" si="2">SUM(C37:AG37)</f>
        <v>415.91666666666669</v>
      </c>
    </row>
    <row r="38" spans="1:34" x14ac:dyDescent="0.35">
      <c r="A38" s="93"/>
      <c r="B38" s="8" t="s">
        <v>53</v>
      </c>
      <c r="C38" s="94">
        <v>9.25</v>
      </c>
      <c r="D38" s="95">
        <v>6.72</v>
      </c>
      <c r="E38" s="96">
        <v>13.2</v>
      </c>
      <c r="F38" s="94">
        <v>0</v>
      </c>
      <c r="G38" s="76">
        <v>10.33</v>
      </c>
      <c r="H38" s="94">
        <v>5.88</v>
      </c>
      <c r="I38" s="94">
        <v>10.47</v>
      </c>
      <c r="J38" s="94">
        <v>0</v>
      </c>
      <c r="K38" s="97">
        <v>12.17</v>
      </c>
      <c r="L38" s="76">
        <v>4.42</v>
      </c>
      <c r="M38" s="76">
        <v>11.5</v>
      </c>
      <c r="N38" s="76">
        <v>0</v>
      </c>
      <c r="O38" s="76">
        <v>8.58</v>
      </c>
      <c r="P38" s="76">
        <v>15.55</v>
      </c>
      <c r="Q38" s="96">
        <v>12</v>
      </c>
      <c r="R38" s="94">
        <v>10.25</v>
      </c>
      <c r="S38" s="94">
        <v>8.1199999999999992</v>
      </c>
      <c r="T38" s="102">
        <v>0</v>
      </c>
      <c r="U38" s="97">
        <v>18.75</v>
      </c>
      <c r="V38" s="103">
        <v>12.03</v>
      </c>
      <c r="W38" s="81">
        <v>10.78</v>
      </c>
      <c r="X38" s="104">
        <v>9</v>
      </c>
      <c r="Y38" s="76">
        <v>15.35</v>
      </c>
      <c r="Z38" s="18">
        <v>8</v>
      </c>
      <c r="AA38" s="18">
        <v>9</v>
      </c>
      <c r="AB38" s="22">
        <v>10</v>
      </c>
      <c r="AC38" s="18">
        <v>10</v>
      </c>
      <c r="AD38" s="48">
        <v>10</v>
      </c>
      <c r="AE38" s="18">
        <v>0</v>
      </c>
      <c r="AF38" s="10">
        <v>0</v>
      </c>
      <c r="AG38" s="18">
        <v>0</v>
      </c>
      <c r="AH38" s="101">
        <f t="shared" si="2"/>
        <v>251.35</v>
      </c>
    </row>
    <row r="39" spans="1:34" x14ac:dyDescent="0.35">
      <c r="A39" s="93"/>
      <c r="B39" s="8" t="s">
        <v>54</v>
      </c>
      <c r="C39" s="94">
        <v>0</v>
      </c>
      <c r="D39" s="95">
        <v>4.2</v>
      </c>
      <c r="E39" s="96">
        <v>8.3000000000000007</v>
      </c>
      <c r="F39" s="94">
        <v>9.33</v>
      </c>
      <c r="G39" s="94">
        <v>0</v>
      </c>
      <c r="H39" s="94">
        <v>6.87</v>
      </c>
      <c r="I39" s="94">
        <v>5.7</v>
      </c>
      <c r="J39" s="94">
        <v>0</v>
      </c>
      <c r="K39" s="94">
        <v>0</v>
      </c>
      <c r="L39" s="94">
        <v>0</v>
      </c>
      <c r="M39" s="94">
        <v>1</v>
      </c>
      <c r="N39" s="94">
        <v>10</v>
      </c>
      <c r="O39" s="76">
        <v>1</v>
      </c>
      <c r="P39" s="76">
        <v>7.7</v>
      </c>
      <c r="Q39" s="96">
        <v>5</v>
      </c>
      <c r="R39" s="94">
        <v>0</v>
      </c>
      <c r="S39" s="94">
        <v>5.8</v>
      </c>
      <c r="T39" s="102">
        <v>5.17</v>
      </c>
      <c r="U39" s="97">
        <v>0</v>
      </c>
      <c r="V39" s="103">
        <v>6.3</v>
      </c>
      <c r="W39" s="100">
        <v>5.3</v>
      </c>
      <c r="X39" s="104">
        <v>9.3333333333333321</v>
      </c>
      <c r="Y39" s="76">
        <v>6.7333333333333361</v>
      </c>
      <c r="Z39" s="18">
        <v>8.67</v>
      </c>
      <c r="AA39" s="18">
        <v>11.25</v>
      </c>
      <c r="AB39" s="22">
        <v>12.5</v>
      </c>
      <c r="AC39" s="18">
        <v>-10</v>
      </c>
      <c r="AD39" s="48">
        <v>-10</v>
      </c>
      <c r="AE39" s="18">
        <v>4.1666666666666679</v>
      </c>
      <c r="AF39" s="10">
        <v>9.326666666666668</v>
      </c>
      <c r="AG39" s="18">
        <v>3.3333333333338544E-3</v>
      </c>
      <c r="AH39" s="101">
        <f t="shared" si="2"/>
        <v>123.65333333333334</v>
      </c>
    </row>
    <row r="40" spans="1:34" x14ac:dyDescent="0.35">
      <c r="A40" s="93"/>
      <c r="B40" s="8" t="s">
        <v>55</v>
      </c>
      <c r="C40" s="94">
        <v>0</v>
      </c>
      <c r="D40" s="95">
        <v>0</v>
      </c>
      <c r="E40" s="96">
        <v>0</v>
      </c>
      <c r="F40" s="94">
        <v>0</v>
      </c>
      <c r="G40" s="94">
        <v>0</v>
      </c>
      <c r="H40" s="94">
        <v>0</v>
      </c>
      <c r="I40" s="94">
        <v>0</v>
      </c>
      <c r="J40" s="94">
        <v>0</v>
      </c>
      <c r="K40" s="94">
        <v>0</v>
      </c>
      <c r="L40" s="94">
        <v>0</v>
      </c>
      <c r="M40" s="94">
        <v>0</v>
      </c>
      <c r="N40" s="94">
        <v>0</v>
      </c>
      <c r="O40" s="76">
        <v>0</v>
      </c>
      <c r="P40" s="76">
        <v>0</v>
      </c>
      <c r="Q40" s="96">
        <v>0</v>
      </c>
      <c r="R40" s="94">
        <v>0</v>
      </c>
      <c r="S40" s="94">
        <v>0</v>
      </c>
      <c r="T40" s="102">
        <v>0</v>
      </c>
      <c r="U40" s="97">
        <v>0</v>
      </c>
      <c r="V40" s="103">
        <v>0</v>
      </c>
      <c r="W40" s="100">
        <v>0</v>
      </c>
      <c r="X40" s="104">
        <v>0</v>
      </c>
      <c r="Y40" s="76">
        <v>0</v>
      </c>
      <c r="Z40" s="18">
        <v>0</v>
      </c>
      <c r="AA40" s="18">
        <v>0</v>
      </c>
      <c r="AB40" s="47">
        <v>0</v>
      </c>
      <c r="AC40" s="41">
        <v>0</v>
      </c>
      <c r="AD40" s="48">
        <v>0</v>
      </c>
      <c r="AE40" s="41">
        <v>0</v>
      </c>
      <c r="AF40" s="10">
        <v>0</v>
      </c>
      <c r="AG40" s="41">
        <v>0</v>
      </c>
      <c r="AH40" s="101">
        <f>SUM(C40:AG40)</f>
        <v>0</v>
      </c>
    </row>
    <row r="41" spans="1:34" x14ac:dyDescent="0.35">
      <c r="A41" s="93"/>
      <c r="B41" s="8" t="s">
        <v>56</v>
      </c>
      <c r="C41" s="94">
        <v>0</v>
      </c>
      <c r="D41" s="95">
        <v>0</v>
      </c>
      <c r="E41" s="96">
        <v>0</v>
      </c>
      <c r="F41" s="94">
        <v>0</v>
      </c>
      <c r="G41" s="94">
        <v>0</v>
      </c>
      <c r="H41" s="94">
        <v>0</v>
      </c>
      <c r="I41" s="94">
        <v>0</v>
      </c>
      <c r="J41" s="94">
        <v>0</v>
      </c>
      <c r="K41" s="94">
        <v>0</v>
      </c>
      <c r="L41" s="94">
        <v>0</v>
      </c>
      <c r="M41" s="94">
        <v>0</v>
      </c>
      <c r="N41" s="94">
        <v>10</v>
      </c>
      <c r="O41" s="76">
        <v>2</v>
      </c>
      <c r="P41" s="76">
        <v>0</v>
      </c>
      <c r="Q41" s="96">
        <v>0</v>
      </c>
      <c r="R41" s="94">
        <v>7</v>
      </c>
      <c r="S41" s="94">
        <v>0</v>
      </c>
      <c r="T41" s="102">
        <v>0</v>
      </c>
      <c r="U41" s="97">
        <v>3</v>
      </c>
      <c r="V41" s="103">
        <v>0</v>
      </c>
      <c r="W41" s="100">
        <v>0</v>
      </c>
      <c r="X41" s="104">
        <v>0</v>
      </c>
      <c r="Y41" s="76">
        <v>0</v>
      </c>
      <c r="Z41" s="18">
        <v>0</v>
      </c>
      <c r="AA41" s="18">
        <v>0</v>
      </c>
      <c r="AB41" s="47">
        <v>0</v>
      </c>
      <c r="AC41" s="41">
        <v>0</v>
      </c>
      <c r="AD41" s="48">
        <v>0</v>
      </c>
      <c r="AE41" s="41">
        <v>7</v>
      </c>
      <c r="AF41" s="10">
        <v>1.59</v>
      </c>
      <c r="AG41" s="41">
        <v>10.33</v>
      </c>
      <c r="AH41" s="101">
        <f>SUM(C41:AG41)</f>
        <v>40.92</v>
      </c>
    </row>
    <row r="42" spans="1:34" x14ac:dyDescent="0.35">
      <c r="A42" s="93"/>
      <c r="B42" s="8" t="s">
        <v>57</v>
      </c>
      <c r="C42" s="41">
        <v>9.5000000000000018</v>
      </c>
      <c r="D42" s="42">
        <v>11.666666666666666</v>
      </c>
      <c r="E42" s="105">
        <v>21.333333333333332</v>
      </c>
      <c r="F42" s="41">
        <v>9.5000000000000018</v>
      </c>
      <c r="G42" s="41">
        <v>10.5</v>
      </c>
      <c r="H42" s="41">
        <v>12.666666666666664</v>
      </c>
      <c r="I42" s="41">
        <v>16.333333333333336</v>
      </c>
      <c r="J42" s="41">
        <v>0</v>
      </c>
      <c r="K42" s="41">
        <v>12.166666666666666</v>
      </c>
      <c r="L42" s="41">
        <v>4.8333333333333321</v>
      </c>
      <c r="M42" s="41">
        <v>12.499999999999998</v>
      </c>
      <c r="N42" s="41">
        <v>21.666666666666668</v>
      </c>
      <c r="O42" s="41">
        <v>12</v>
      </c>
      <c r="P42" s="41">
        <v>23.916666666666668</v>
      </c>
      <c r="Q42" s="105">
        <v>17</v>
      </c>
      <c r="R42" s="41">
        <v>17.083333333333336</v>
      </c>
      <c r="S42" s="41">
        <v>13.833333333333332</v>
      </c>
      <c r="T42" s="106">
        <v>5.0833333333333339</v>
      </c>
      <c r="U42" s="41">
        <v>22.75</v>
      </c>
      <c r="V42" s="107">
        <v>20.916666666666668</v>
      </c>
      <c r="W42" s="54">
        <v>18.083333333333336</v>
      </c>
      <c r="X42" s="48">
        <v>19.666666666666668</v>
      </c>
      <c r="Y42" s="41">
        <v>22.916666666666668</v>
      </c>
      <c r="Z42" s="41">
        <v>16.000000000000004</v>
      </c>
      <c r="AA42" s="41">
        <v>21.333333333333332</v>
      </c>
      <c r="AB42" s="48">
        <v>23.000000000000004</v>
      </c>
      <c r="AC42" s="41">
        <v>0</v>
      </c>
      <c r="AD42" s="48">
        <v>0</v>
      </c>
      <c r="AE42" s="41">
        <v>12</v>
      </c>
      <c r="AF42" s="10">
        <v>12</v>
      </c>
      <c r="AG42" s="41">
        <v>10.333333333333334</v>
      </c>
      <c r="AH42" s="101">
        <f t="shared" si="2"/>
        <v>430.58333333333331</v>
      </c>
    </row>
    <row r="43" spans="1:34" x14ac:dyDescent="0.35">
      <c r="A43" s="93"/>
      <c r="B43" s="8" t="s">
        <v>58</v>
      </c>
      <c r="C43" s="41">
        <v>9.5000000000000018</v>
      </c>
      <c r="D43" s="42">
        <v>10.75</v>
      </c>
      <c r="E43" s="105">
        <v>21.333333333333332</v>
      </c>
      <c r="F43" s="41">
        <v>9.5000000000000018</v>
      </c>
      <c r="G43" s="41">
        <v>10.5</v>
      </c>
      <c r="H43" s="41">
        <v>12.666666666666664</v>
      </c>
      <c r="I43" s="41">
        <v>16.333333333333336</v>
      </c>
      <c r="J43" s="41">
        <v>0</v>
      </c>
      <c r="K43" s="41">
        <v>12.166666666666666</v>
      </c>
      <c r="L43" s="41">
        <v>4.8333333333333321</v>
      </c>
      <c r="M43" s="41">
        <v>12.499999999999998</v>
      </c>
      <c r="N43" s="41">
        <v>21.166666666666668</v>
      </c>
      <c r="O43" s="41">
        <v>12</v>
      </c>
      <c r="P43" s="41">
        <v>23.916666666666668</v>
      </c>
      <c r="Q43" s="105">
        <v>17</v>
      </c>
      <c r="R43" s="41">
        <v>17.416666666666668</v>
      </c>
      <c r="S43" s="41">
        <v>13.999999999999998</v>
      </c>
      <c r="T43" s="106">
        <v>5.0833333333333339</v>
      </c>
      <c r="U43" s="41">
        <v>23.166666666666668</v>
      </c>
      <c r="V43" s="107">
        <v>20.083333333333336</v>
      </c>
      <c r="W43" s="54">
        <v>18.666666666666668</v>
      </c>
      <c r="X43" s="48">
        <v>19.833333333333332</v>
      </c>
      <c r="Y43" s="41">
        <v>22.916666666666668</v>
      </c>
      <c r="Z43" s="41">
        <v>17</v>
      </c>
      <c r="AA43" s="41">
        <v>21.500000000000004</v>
      </c>
      <c r="AB43" s="48">
        <v>22.666666666666668</v>
      </c>
      <c r="AC43" s="41">
        <v>0</v>
      </c>
      <c r="AD43" s="48">
        <v>0</v>
      </c>
      <c r="AE43" s="41">
        <v>11.5</v>
      </c>
      <c r="AF43" s="10">
        <v>10.833333333333336</v>
      </c>
      <c r="AG43" s="41">
        <v>10.666666666666666</v>
      </c>
      <c r="AH43" s="101">
        <f t="shared" si="2"/>
        <v>429.5</v>
      </c>
    </row>
    <row r="44" spans="1:34" x14ac:dyDescent="0.35">
      <c r="A44" s="93"/>
      <c r="B44" s="8" t="s">
        <v>59</v>
      </c>
      <c r="C44" s="41">
        <v>9.5000000000000018</v>
      </c>
      <c r="D44" s="42">
        <v>11.416666666666666</v>
      </c>
      <c r="E44" s="105">
        <v>21.333333333333332</v>
      </c>
      <c r="F44" s="41">
        <v>9.5000000000000018</v>
      </c>
      <c r="G44" s="41">
        <v>10.5</v>
      </c>
      <c r="H44" s="41">
        <v>12.666666666666664</v>
      </c>
      <c r="I44" s="41">
        <v>16.333333333333336</v>
      </c>
      <c r="J44" s="41">
        <v>0</v>
      </c>
      <c r="K44" s="41">
        <v>13.000000000000002</v>
      </c>
      <c r="L44" s="41">
        <v>4.8333333333333321</v>
      </c>
      <c r="M44" s="41">
        <v>12.499999999999998</v>
      </c>
      <c r="N44" s="41">
        <v>21.166666666666668</v>
      </c>
      <c r="O44" s="41">
        <v>12</v>
      </c>
      <c r="P44" s="41">
        <v>23.916666666666668</v>
      </c>
      <c r="Q44" s="105">
        <v>17</v>
      </c>
      <c r="R44" s="41">
        <v>17.416666666666668</v>
      </c>
      <c r="S44" s="41">
        <v>13.833333333333332</v>
      </c>
      <c r="T44" s="106">
        <v>5.0833333333333339</v>
      </c>
      <c r="U44" s="41">
        <v>23.000000000000004</v>
      </c>
      <c r="V44" s="107">
        <v>20.916666666666668</v>
      </c>
      <c r="W44" s="54">
        <v>18.916666666666668</v>
      </c>
      <c r="X44" s="48">
        <v>19.833333333333332</v>
      </c>
      <c r="Y44" s="41">
        <v>22.583333333333336</v>
      </c>
      <c r="Z44" s="41">
        <v>16.000000000000004</v>
      </c>
      <c r="AA44" s="41">
        <v>10.75</v>
      </c>
      <c r="AB44" s="48">
        <v>22.416666666666668</v>
      </c>
      <c r="AC44" s="41">
        <v>0</v>
      </c>
      <c r="AD44" s="48">
        <v>0</v>
      </c>
      <c r="AE44" s="41">
        <v>11.000000000000002</v>
      </c>
      <c r="AF44" s="10">
        <v>10.75</v>
      </c>
      <c r="AG44" s="41">
        <v>10.666666666666666</v>
      </c>
      <c r="AH44" s="101">
        <f t="shared" si="2"/>
        <v>418.83333333333337</v>
      </c>
    </row>
    <row r="45" spans="1:34" x14ac:dyDescent="0.35">
      <c r="A45" s="93"/>
      <c r="B45" s="8" t="s">
        <v>60</v>
      </c>
      <c r="C45" s="41">
        <v>9.5000000000000018</v>
      </c>
      <c r="D45" s="42">
        <v>10.666666666666666</v>
      </c>
      <c r="E45" s="105">
        <v>21</v>
      </c>
      <c r="F45" s="41">
        <v>9.1666666666666661</v>
      </c>
      <c r="G45" s="41">
        <v>10.333333333333334</v>
      </c>
      <c r="H45" s="41">
        <v>12.666666666666664</v>
      </c>
      <c r="I45" s="41">
        <v>16.166666666666668</v>
      </c>
      <c r="J45" s="41">
        <v>0</v>
      </c>
      <c r="K45" s="41">
        <v>13.000000000000002</v>
      </c>
      <c r="L45" s="41">
        <v>4.8333333333333321</v>
      </c>
      <c r="M45" s="41">
        <v>12.166666666666666</v>
      </c>
      <c r="N45" s="41">
        <v>14.083333333333334</v>
      </c>
      <c r="O45" s="41">
        <v>12</v>
      </c>
      <c r="P45" s="41">
        <v>23.916666666666668</v>
      </c>
      <c r="Q45" s="105">
        <v>17</v>
      </c>
      <c r="R45" s="41">
        <v>17</v>
      </c>
      <c r="S45" s="41">
        <v>13.999999999999998</v>
      </c>
      <c r="T45" s="106">
        <v>5.0833333333333339</v>
      </c>
      <c r="U45" s="41">
        <v>22.75</v>
      </c>
      <c r="V45" s="107">
        <v>20.833333333333336</v>
      </c>
      <c r="W45" s="54">
        <v>18.833333333333336</v>
      </c>
      <c r="X45" s="48">
        <v>19.5</v>
      </c>
      <c r="Y45" s="41">
        <v>22.583333333333336</v>
      </c>
      <c r="Z45" s="41">
        <v>17</v>
      </c>
      <c r="AA45" s="41">
        <v>21.583333333333336</v>
      </c>
      <c r="AB45" s="48">
        <v>22.833333333333332</v>
      </c>
      <c r="AC45" s="41">
        <v>0</v>
      </c>
      <c r="AD45" s="48">
        <v>0</v>
      </c>
      <c r="AE45" s="41">
        <v>11.000000000000002</v>
      </c>
      <c r="AF45" s="10">
        <v>10.75</v>
      </c>
      <c r="AG45" s="41">
        <v>10.666666666666666</v>
      </c>
      <c r="AH45" s="101">
        <f t="shared" si="2"/>
        <v>420.91666666666663</v>
      </c>
    </row>
    <row r="46" spans="1:34" x14ac:dyDescent="0.35">
      <c r="A46" s="93"/>
      <c r="B46" s="8" t="s">
        <v>61</v>
      </c>
      <c r="C46" s="41">
        <v>9</v>
      </c>
      <c r="D46" s="42">
        <v>11.000000000000002</v>
      </c>
      <c r="E46" s="105">
        <v>21.833333333333336</v>
      </c>
      <c r="F46" s="41">
        <v>9</v>
      </c>
      <c r="G46" s="41">
        <v>10.083333333333336</v>
      </c>
      <c r="H46" s="41">
        <v>13.000000000000002</v>
      </c>
      <c r="I46" s="41">
        <v>16.166666666666668</v>
      </c>
      <c r="J46" s="41">
        <v>0</v>
      </c>
      <c r="K46" s="41">
        <v>11.333333333333334</v>
      </c>
      <c r="L46" s="41">
        <v>3.833333333333333</v>
      </c>
      <c r="M46" s="41">
        <v>12.333333333333332</v>
      </c>
      <c r="N46" s="41">
        <v>21.166666666666668</v>
      </c>
      <c r="O46" s="41">
        <v>11.166666666666668</v>
      </c>
      <c r="P46" s="41">
        <v>23.000000000000004</v>
      </c>
      <c r="Q46" s="105">
        <v>17</v>
      </c>
      <c r="R46" s="41">
        <v>16.833333333333332</v>
      </c>
      <c r="S46" s="41">
        <v>13.833333333333332</v>
      </c>
      <c r="T46" s="106">
        <v>5.6666666666666679</v>
      </c>
      <c r="U46" s="41">
        <v>23.000000000000004</v>
      </c>
      <c r="V46" s="107">
        <v>20.750000000000004</v>
      </c>
      <c r="W46" s="54">
        <v>18</v>
      </c>
      <c r="X46" s="48">
        <v>19.333333333333336</v>
      </c>
      <c r="Y46" s="41">
        <v>21.416666666666668</v>
      </c>
      <c r="Z46" s="41">
        <v>17</v>
      </c>
      <c r="AA46" s="41">
        <v>21.666666666666668</v>
      </c>
      <c r="AB46" s="48">
        <v>22.666666666666668</v>
      </c>
      <c r="AC46" s="41">
        <v>0</v>
      </c>
      <c r="AD46" s="48">
        <v>0</v>
      </c>
      <c r="AE46" s="41">
        <v>11.000000000000002</v>
      </c>
      <c r="AF46" s="10">
        <v>10.75</v>
      </c>
      <c r="AG46" s="41">
        <v>10.333333333333334</v>
      </c>
      <c r="AH46" s="101">
        <f t="shared" si="2"/>
        <v>422.16666666666669</v>
      </c>
    </row>
    <row r="47" spans="1:34" x14ac:dyDescent="0.35">
      <c r="A47" s="93"/>
      <c r="B47" s="8" t="s">
        <v>62</v>
      </c>
      <c r="C47" s="41">
        <v>9.3333333333333357</v>
      </c>
      <c r="D47" s="42">
        <v>11.5</v>
      </c>
      <c r="E47" s="105">
        <v>22</v>
      </c>
      <c r="F47" s="41">
        <v>9.1666666666666661</v>
      </c>
      <c r="G47" s="41">
        <v>10.083333333333336</v>
      </c>
      <c r="H47" s="41">
        <v>13.000000000000002</v>
      </c>
      <c r="I47" s="41">
        <v>16.000000000000004</v>
      </c>
      <c r="J47" s="41">
        <v>0</v>
      </c>
      <c r="K47" s="41">
        <v>11.333333333333334</v>
      </c>
      <c r="L47" s="41">
        <v>3.833333333333333</v>
      </c>
      <c r="M47" s="41">
        <v>12.333333333333332</v>
      </c>
      <c r="N47" s="41">
        <v>21.25</v>
      </c>
      <c r="O47" s="41">
        <v>11.166666666666668</v>
      </c>
      <c r="P47" s="41">
        <v>21.500000000000004</v>
      </c>
      <c r="Q47" s="105">
        <v>17</v>
      </c>
      <c r="R47" s="41">
        <v>18</v>
      </c>
      <c r="S47" s="41">
        <v>13.999999999999998</v>
      </c>
      <c r="T47" s="106">
        <v>4.6666666666666661</v>
      </c>
      <c r="U47" s="41">
        <v>22.833333333333332</v>
      </c>
      <c r="V47" s="107">
        <v>20.833333333333336</v>
      </c>
      <c r="W47" s="54">
        <v>17.916666666666668</v>
      </c>
      <c r="X47" s="48">
        <v>19.666666666666668</v>
      </c>
      <c r="Y47" s="41">
        <v>20.5</v>
      </c>
      <c r="Z47" s="41">
        <v>16.333333333333336</v>
      </c>
      <c r="AA47" s="41">
        <v>21.75</v>
      </c>
      <c r="AB47" s="48">
        <v>22.5</v>
      </c>
      <c r="AC47" s="41">
        <v>0</v>
      </c>
      <c r="AD47" s="48">
        <v>0</v>
      </c>
      <c r="AE47" s="41">
        <v>11.000000000000002</v>
      </c>
      <c r="AF47" s="10">
        <v>10.75</v>
      </c>
      <c r="AG47" s="41">
        <v>8.6666666666666661</v>
      </c>
      <c r="AH47" s="101">
        <f t="shared" si="2"/>
        <v>418.91666666666669</v>
      </c>
    </row>
    <row r="48" spans="1:34" x14ac:dyDescent="0.35">
      <c r="A48" s="93"/>
      <c r="B48" s="8" t="s">
        <v>63</v>
      </c>
      <c r="C48" s="41">
        <v>8.0000000000000018</v>
      </c>
      <c r="D48" s="42">
        <v>8.6666666666666661</v>
      </c>
      <c r="E48" s="105">
        <v>21.166666666666668</v>
      </c>
      <c r="F48" s="41">
        <v>9.6666666666666679</v>
      </c>
      <c r="G48" s="41">
        <v>10.333333333333334</v>
      </c>
      <c r="H48" s="41">
        <v>12.666666666666664</v>
      </c>
      <c r="I48" s="41">
        <v>16.333333333333336</v>
      </c>
      <c r="J48" s="41">
        <v>0</v>
      </c>
      <c r="K48" s="41">
        <v>12.166666666666666</v>
      </c>
      <c r="L48" s="41">
        <v>4.5</v>
      </c>
      <c r="M48" s="41">
        <v>12.666666666666664</v>
      </c>
      <c r="N48" s="41">
        <v>19.833333333333332</v>
      </c>
      <c r="O48" s="41">
        <v>11.083333333333334</v>
      </c>
      <c r="P48" s="41">
        <v>22</v>
      </c>
      <c r="Q48" s="105">
        <v>17</v>
      </c>
      <c r="R48" s="41">
        <v>17</v>
      </c>
      <c r="S48" s="41">
        <v>13.999999999999998</v>
      </c>
      <c r="T48" s="106">
        <v>4.6666666666666661</v>
      </c>
      <c r="U48" s="108">
        <v>13.000000000000002</v>
      </c>
      <c r="V48" s="107">
        <v>0</v>
      </c>
      <c r="W48" s="54">
        <v>0</v>
      </c>
      <c r="X48" s="48">
        <v>9</v>
      </c>
      <c r="Y48" s="41">
        <v>21.500000000000004</v>
      </c>
      <c r="Z48" s="41">
        <v>17</v>
      </c>
      <c r="AA48" s="41">
        <v>22</v>
      </c>
      <c r="AB48" s="48">
        <v>20.916666666666668</v>
      </c>
      <c r="AC48" s="41">
        <v>0</v>
      </c>
      <c r="AD48" s="48">
        <v>0</v>
      </c>
      <c r="AE48" s="41">
        <v>10.833333333333336</v>
      </c>
      <c r="AF48" s="10">
        <v>10.75</v>
      </c>
      <c r="AG48" s="41">
        <v>10.666666666666666</v>
      </c>
      <c r="AH48" s="101">
        <f t="shared" si="2"/>
        <v>357.41666666666674</v>
      </c>
    </row>
    <row r="49" spans="1:34" x14ac:dyDescent="0.35">
      <c r="A49" s="93"/>
      <c r="B49" s="8" t="s">
        <v>64</v>
      </c>
      <c r="C49" s="41">
        <v>9.6666666666666679</v>
      </c>
      <c r="D49" s="42">
        <v>11.666666666666666</v>
      </c>
      <c r="E49" s="105">
        <v>22</v>
      </c>
      <c r="F49" s="41">
        <v>9.1666666666666661</v>
      </c>
      <c r="G49" s="41">
        <v>10.333333333333334</v>
      </c>
      <c r="H49" s="41">
        <v>12.666666666666664</v>
      </c>
      <c r="I49" s="41">
        <v>15.666666666666664</v>
      </c>
      <c r="J49" s="41">
        <v>0</v>
      </c>
      <c r="K49" s="41">
        <v>12.166666666666666</v>
      </c>
      <c r="L49" s="41">
        <v>3.833333333333333</v>
      </c>
      <c r="M49" s="41">
        <v>13.000000000000002</v>
      </c>
      <c r="N49" s="41">
        <v>19.666666666666668</v>
      </c>
      <c r="O49" s="41">
        <v>11.25</v>
      </c>
      <c r="P49" s="41">
        <v>23.833333333333336</v>
      </c>
      <c r="Q49" s="105">
        <v>17</v>
      </c>
      <c r="R49" s="41">
        <v>17.25</v>
      </c>
      <c r="S49" s="41">
        <v>13.833333333333332</v>
      </c>
      <c r="T49" s="106">
        <v>6</v>
      </c>
      <c r="U49" s="108">
        <v>23.5</v>
      </c>
      <c r="V49" s="107">
        <v>22.333333333333336</v>
      </c>
      <c r="W49" s="54">
        <v>18.25</v>
      </c>
      <c r="X49" s="48">
        <v>19.833333333333332</v>
      </c>
      <c r="Y49" s="41">
        <v>22.250000000000004</v>
      </c>
      <c r="Z49" s="41">
        <v>17</v>
      </c>
      <c r="AA49" s="41">
        <v>21.416666666666668</v>
      </c>
      <c r="AB49" s="48">
        <v>23.000000000000004</v>
      </c>
      <c r="AC49" s="41">
        <v>0</v>
      </c>
      <c r="AD49" s="48">
        <v>0</v>
      </c>
      <c r="AE49" s="41">
        <v>11.000000000000002</v>
      </c>
      <c r="AF49" s="10">
        <v>10.75</v>
      </c>
      <c r="AG49" s="41">
        <v>10.666666666666666</v>
      </c>
      <c r="AH49" s="101">
        <f t="shared" si="2"/>
        <v>429</v>
      </c>
    </row>
    <row r="50" spans="1:34" x14ac:dyDescent="0.35">
      <c r="A50" s="93"/>
      <c r="B50" s="8" t="s">
        <v>65</v>
      </c>
      <c r="C50" s="18">
        <v>35239</v>
      </c>
      <c r="D50" s="10">
        <v>33139</v>
      </c>
      <c r="E50" s="18">
        <v>65431</v>
      </c>
      <c r="F50" s="18">
        <v>27571</v>
      </c>
      <c r="G50" s="18">
        <v>38454</v>
      </c>
      <c r="H50" s="18">
        <v>47566</v>
      </c>
      <c r="I50" s="18">
        <v>59709</v>
      </c>
      <c r="J50" s="18">
        <v>0</v>
      </c>
      <c r="K50" s="18">
        <v>44995</v>
      </c>
      <c r="L50" s="18">
        <v>16388</v>
      </c>
      <c r="M50" s="18">
        <v>55542</v>
      </c>
      <c r="N50" s="18">
        <v>64136</v>
      </c>
      <c r="O50" s="18">
        <v>42021</v>
      </c>
      <c r="P50" s="18">
        <v>75208</v>
      </c>
      <c r="Q50" s="18">
        <v>38056</v>
      </c>
      <c r="R50" s="18">
        <v>64452</v>
      </c>
      <c r="S50" s="18">
        <v>48565</v>
      </c>
      <c r="T50" s="20">
        <v>24899</v>
      </c>
      <c r="U50" s="18">
        <v>97487</v>
      </c>
      <c r="V50" s="12">
        <v>68295</v>
      </c>
      <c r="W50" s="21">
        <v>57556</v>
      </c>
      <c r="X50" s="22">
        <v>66087</v>
      </c>
      <c r="Y50" s="18">
        <v>80081</v>
      </c>
      <c r="Z50" s="18">
        <v>76360</v>
      </c>
      <c r="AA50" s="18">
        <v>87968</v>
      </c>
      <c r="AB50" s="22">
        <v>82058</v>
      </c>
      <c r="AC50" s="18">
        <v>0</v>
      </c>
      <c r="AD50" s="22">
        <v>0</v>
      </c>
      <c r="AE50" s="18">
        <v>46644</v>
      </c>
      <c r="AF50" s="10">
        <v>40791</v>
      </c>
      <c r="AG50" s="18">
        <v>39744</v>
      </c>
      <c r="AH50" s="23">
        <f t="shared" si="2"/>
        <v>1524442</v>
      </c>
    </row>
    <row r="51" spans="1:34" x14ac:dyDescent="0.35">
      <c r="A51" s="93"/>
      <c r="B51" s="8" t="s">
        <v>66</v>
      </c>
      <c r="C51" s="109">
        <v>3051</v>
      </c>
      <c r="D51" s="110">
        <v>2932.3333333333335</v>
      </c>
      <c r="E51" s="26">
        <v>5853.833333333333</v>
      </c>
      <c r="F51" s="109">
        <v>2666.4000000000005</v>
      </c>
      <c r="G51" s="109">
        <v>3641.333333333333</v>
      </c>
      <c r="H51" s="109">
        <v>4772</v>
      </c>
      <c r="I51" s="109">
        <v>6291.2999999999993</v>
      </c>
      <c r="J51" s="109">
        <v>0</v>
      </c>
      <c r="K51" s="109">
        <v>4082.333333333333</v>
      </c>
      <c r="L51" s="109">
        <v>1456.2166666666667</v>
      </c>
      <c r="M51" s="109">
        <v>4481.5</v>
      </c>
      <c r="N51" s="109">
        <v>7150.333333333333</v>
      </c>
      <c r="O51" s="109">
        <v>3915.333333333333</v>
      </c>
      <c r="P51" s="109">
        <v>6208.25</v>
      </c>
      <c r="Q51" s="26">
        <v>3439</v>
      </c>
      <c r="R51" s="109">
        <v>5330.3</v>
      </c>
      <c r="S51" s="109">
        <v>4110</v>
      </c>
      <c r="T51" s="27">
        <v>2176</v>
      </c>
      <c r="U51" s="109">
        <v>8025</v>
      </c>
      <c r="V51" s="111">
        <v>5926.32</v>
      </c>
      <c r="W51" s="112">
        <v>5080.8</v>
      </c>
      <c r="X51" s="113">
        <v>5992</v>
      </c>
      <c r="Y51" s="18">
        <v>7217.5</v>
      </c>
      <c r="Z51" s="18">
        <v>6504</v>
      </c>
      <c r="AA51" s="18">
        <v>8235.1</v>
      </c>
      <c r="AB51" s="22">
        <v>7943.333333333333</v>
      </c>
      <c r="AC51" s="18">
        <v>0</v>
      </c>
      <c r="AD51" s="22">
        <v>0</v>
      </c>
      <c r="AE51" s="18">
        <v>5050</v>
      </c>
      <c r="AF51" s="10">
        <v>4046</v>
      </c>
      <c r="AG51" s="18">
        <v>4176</v>
      </c>
      <c r="AH51" s="23">
        <f t="shared" si="2"/>
        <v>139753.52000000002</v>
      </c>
    </row>
    <row r="52" spans="1:34" ht="15.5" x14ac:dyDescent="0.35">
      <c r="A52" s="93"/>
      <c r="B52" s="8" t="s">
        <v>67</v>
      </c>
      <c r="C52" s="41">
        <v>11.549983611930514</v>
      </c>
      <c r="D52" s="42">
        <v>11.301239058770035</v>
      </c>
      <c r="E52" s="105">
        <v>11.177462061896764</v>
      </c>
      <c r="F52" s="41">
        <v>10.340159015901587</v>
      </c>
      <c r="G52" s="41">
        <v>10.560417429513</v>
      </c>
      <c r="H52" s="41">
        <v>9.9677284157585913</v>
      </c>
      <c r="I52" s="41">
        <v>9.4907252873015135</v>
      </c>
      <c r="J52" s="41" t="e">
        <v>#DIV/0!</v>
      </c>
      <c r="K52" s="41">
        <v>11.021882910100434</v>
      </c>
      <c r="L52" s="41">
        <v>11.253819829924575</v>
      </c>
      <c r="M52" s="41">
        <v>12.393618208189222</v>
      </c>
      <c r="N52" s="41">
        <v>8.969651764486505</v>
      </c>
      <c r="O52" s="41">
        <v>10.732419547079857</v>
      </c>
      <c r="P52" s="41">
        <v>12.114202875206379</v>
      </c>
      <c r="Q52" s="105">
        <v>11.066007560337308</v>
      </c>
      <c r="R52" s="41">
        <v>12.091627112920474</v>
      </c>
      <c r="S52" s="41">
        <v>11.816301703163017</v>
      </c>
      <c r="T52" s="114">
        <v>11.442555147058824</v>
      </c>
      <c r="U52" s="41">
        <v>12.14791277258567</v>
      </c>
      <c r="V52" s="115">
        <v>11.52401490300895</v>
      </c>
      <c r="W52" s="54">
        <v>11.328137301212408</v>
      </c>
      <c r="X52" s="48">
        <v>11.029205607476635</v>
      </c>
      <c r="Y52" s="41">
        <v>11.095393141669554</v>
      </c>
      <c r="Z52" s="41">
        <v>11.740467404674046</v>
      </c>
      <c r="AA52" s="41">
        <v>10.68208036332285</v>
      </c>
      <c r="AB52" s="48">
        <v>10.330423835501469</v>
      </c>
      <c r="AC52" s="41" t="e">
        <v>#DIV/0!</v>
      </c>
      <c r="AD52" s="48" t="e">
        <v>#DIV/0!</v>
      </c>
      <c r="AE52" s="41">
        <v>9.2364356435643558</v>
      </c>
      <c r="AF52" s="10">
        <v>10.081809194265942</v>
      </c>
      <c r="AG52" s="41">
        <v>9.5172413793103452</v>
      </c>
      <c r="AH52" s="116">
        <f>+AH50/AH51</f>
        <v>10.908075875298167</v>
      </c>
    </row>
    <row r="53" spans="1:34" x14ac:dyDescent="0.35">
      <c r="A53" s="93"/>
      <c r="B53" s="8" t="s">
        <v>68</v>
      </c>
      <c r="C53" s="76">
        <v>8659.8800000000047</v>
      </c>
      <c r="D53" s="77">
        <v>17987.52</v>
      </c>
      <c r="E53" s="18">
        <v>38223.480000000003</v>
      </c>
      <c r="F53" s="76">
        <v>14989.59999999998</v>
      </c>
      <c r="G53" s="76">
        <v>13471.5</v>
      </c>
      <c r="H53" s="76">
        <v>16054.680000000011</v>
      </c>
      <c r="I53" s="76">
        <v>20236.820000000007</v>
      </c>
      <c r="J53" s="76">
        <v>20.86000000000422</v>
      </c>
      <c r="K53" s="76">
        <v>20235.960000000003</v>
      </c>
      <c r="L53" s="76">
        <v>4496.8799999999874</v>
      </c>
      <c r="M53" s="76">
        <v>5621.0999999999967</v>
      </c>
      <c r="N53" s="76">
        <v>24713.699999999993</v>
      </c>
      <c r="O53" s="76">
        <v>13490.640000000012</v>
      </c>
      <c r="P53" s="76">
        <v>43075.960000000006</v>
      </c>
      <c r="Q53" s="18">
        <v>28480.239999999991</v>
      </c>
      <c r="R53" s="76">
        <v>8993.7600000000075</v>
      </c>
      <c r="S53" s="76">
        <v>7869.5399999999991</v>
      </c>
      <c r="T53" s="20">
        <v>0</v>
      </c>
      <c r="U53" s="18">
        <v>9014.6199999999953</v>
      </c>
      <c r="V53" s="12">
        <v>21360.180000000011</v>
      </c>
      <c r="W53" s="81">
        <v>17593.640000000014</v>
      </c>
      <c r="X53" s="82">
        <v>20966.299999999974</v>
      </c>
      <c r="Y53" s="41">
        <v>24358.100000000013</v>
      </c>
      <c r="Z53" s="76">
        <v>3372.6599999999949</v>
      </c>
      <c r="AA53" s="76">
        <v>6370.5799999999972</v>
      </c>
      <c r="AB53" s="82">
        <v>26212.659999999996</v>
      </c>
      <c r="AC53" s="76">
        <v>0</v>
      </c>
      <c r="AD53" s="82">
        <v>0</v>
      </c>
      <c r="AE53" s="76">
        <v>7120.060000000015</v>
      </c>
      <c r="AF53" s="10">
        <v>12741.159999999994</v>
      </c>
      <c r="AG53" s="76">
        <v>10867.460000000001</v>
      </c>
      <c r="AH53" s="23">
        <f>SUM(C53:AG53)</f>
        <v>446599.53999999992</v>
      </c>
    </row>
    <row r="54" spans="1:34" x14ac:dyDescent="0.35">
      <c r="A54" s="93"/>
      <c r="B54" s="8" t="s">
        <v>69</v>
      </c>
      <c r="C54" s="76">
        <v>836.00000000000011</v>
      </c>
      <c r="D54" s="77">
        <v>1776.6666666666665</v>
      </c>
      <c r="E54" s="26">
        <v>3489.166666666667</v>
      </c>
      <c r="F54" s="76">
        <v>1459.5999999999997</v>
      </c>
      <c r="G54" s="76">
        <v>1169.666666666667</v>
      </c>
      <c r="H54" s="76">
        <v>1638.0000000000002</v>
      </c>
      <c r="I54" s="76">
        <v>2103.7000000000003</v>
      </c>
      <c r="J54" s="76">
        <v>0</v>
      </c>
      <c r="K54" s="76">
        <v>1926.6666666666667</v>
      </c>
      <c r="L54" s="76">
        <v>409.7833333333333</v>
      </c>
      <c r="M54" s="76">
        <v>494.5</v>
      </c>
      <c r="N54" s="76">
        <v>3037.666666666667</v>
      </c>
      <c r="O54" s="76">
        <v>1250.6666666666667</v>
      </c>
      <c r="P54" s="76">
        <v>3893.75</v>
      </c>
      <c r="Q54" s="26">
        <v>2550</v>
      </c>
      <c r="R54" s="76">
        <v>798.7</v>
      </c>
      <c r="S54" s="76">
        <v>705</v>
      </c>
      <c r="T54" s="27">
        <v>0</v>
      </c>
      <c r="U54" s="76">
        <v>705</v>
      </c>
      <c r="V54" s="111">
        <v>1912.6799999999998</v>
      </c>
      <c r="W54" s="81">
        <v>1573.2</v>
      </c>
      <c r="X54" s="82">
        <v>2028</v>
      </c>
      <c r="Y54" s="41">
        <v>2263.5000000000005</v>
      </c>
      <c r="Z54" s="76">
        <v>324</v>
      </c>
      <c r="AA54" s="76">
        <v>614.9</v>
      </c>
      <c r="AB54" s="82">
        <v>2619.666666666667</v>
      </c>
      <c r="AC54" s="76">
        <v>0</v>
      </c>
      <c r="AD54" s="82">
        <v>0</v>
      </c>
      <c r="AE54" s="76">
        <v>715.00000000000011</v>
      </c>
      <c r="AF54" s="10">
        <v>1333</v>
      </c>
      <c r="AG54" s="76">
        <v>1178</v>
      </c>
      <c r="AH54" s="23">
        <f>SUM(C54:AG54)</f>
        <v>42806.48</v>
      </c>
    </row>
    <row r="55" spans="1:34" ht="15.5" x14ac:dyDescent="0.35">
      <c r="A55" s="93"/>
      <c r="B55" s="8" t="s">
        <v>70</v>
      </c>
      <c r="C55" s="41">
        <v>10.358708133971296</v>
      </c>
      <c r="D55" s="42">
        <v>10.124307692307694</v>
      </c>
      <c r="E55" s="105">
        <v>10.954902316694531</v>
      </c>
      <c r="F55" s="41">
        <v>10.269662921348303</v>
      </c>
      <c r="G55" s="41">
        <v>10.52</v>
      </c>
      <c r="H55" s="41">
        <v>9.8013919413919464</v>
      </c>
      <c r="I55" s="41">
        <v>9.6196320768170391</v>
      </c>
      <c r="J55" s="41" t="e">
        <v>#DIV/0!</v>
      </c>
      <c r="K55" s="41">
        <v>10.503093425605538</v>
      </c>
      <c r="L55" s="41">
        <v>10.973799162158835</v>
      </c>
      <c r="M55" s="41">
        <v>11.367239635995949</v>
      </c>
      <c r="N55" s="41">
        <v>8.1357511247668128</v>
      </c>
      <c r="O55" s="41">
        <v>10.786759061833697</v>
      </c>
      <c r="P55" s="41">
        <v>11.06284686998395</v>
      </c>
      <c r="Q55" s="105">
        <v>11.168721568627447</v>
      </c>
      <c r="R55" s="94">
        <v>11.260498309753357</v>
      </c>
      <c r="S55" s="94">
        <v>11.162468085106381</v>
      </c>
      <c r="T55" s="114" t="e">
        <v>#DIV/0!</v>
      </c>
      <c r="U55" s="94">
        <v>12.786695035460987</v>
      </c>
      <c r="V55" s="115">
        <v>11.167670493757457</v>
      </c>
      <c r="W55" s="117">
        <v>11.183346046275117</v>
      </c>
      <c r="X55" s="82">
        <v>10.338412228796832</v>
      </c>
      <c r="Y55" s="41">
        <v>10.761254694057879</v>
      </c>
      <c r="Z55" s="41">
        <v>10.409444444444429</v>
      </c>
      <c r="AA55" s="41">
        <v>10.360351276630341</v>
      </c>
      <c r="AB55" s="48">
        <v>10.006105102430332</v>
      </c>
      <c r="AC55" s="41" t="e">
        <v>#DIV/0!</v>
      </c>
      <c r="AD55" s="48" t="e">
        <v>#DIV/0!</v>
      </c>
      <c r="AE55" s="41">
        <v>9.9581258741258942</v>
      </c>
      <c r="AF55" s="10">
        <v>9.5582595648912179</v>
      </c>
      <c r="AG55" s="41">
        <v>9.2253480475382013</v>
      </c>
      <c r="AH55" s="101">
        <f>+AH53/AH54</f>
        <v>10.432989117535474</v>
      </c>
    </row>
    <row r="56" spans="1:34" x14ac:dyDescent="0.35">
      <c r="A56" s="93"/>
      <c r="B56" s="8" t="s">
        <v>71</v>
      </c>
      <c r="C56" s="76">
        <v>0</v>
      </c>
      <c r="D56" s="77">
        <v>0</v>
      </c>
      <c r="E56" s="18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11">
        <v>0</v>
      </c>
      <c r="P56" s="76">
        <v>0</v>
      </c>
      <c r="Q56" s="18">
        <v>6964.3500000000013</v>
      </c>
      <c r="R56" s="76">
        <v>9750.0899999999983</v>
      </c>
      <c r="S56" s="76">
        <v>12535.83</v>
      </c>
      <c r="T56" s="20">
        <v>0</v>
      </c>
      <c r="U56" s="76">
        <v>0</v>
      </c>
      <c r="V56" s="12">
        <v>0</v>
      </c>
      <c r="W56" s="81">
        <v>0</v>
      </c>
      <c r="X56" s="82">
        <v>0</v>
      </c>
      <c r="Y56" s="76">
        <v>0</v>
      </c>
      <c r="Z56" s="76">
        <v>0</v>
      </c>
      <c r="AA56" s="76">
        <v>0</v>
      </c>
      <c r="AB56" s="82">
        <v>0</v>
      </c>
      <c r="AC56" s="76">
        <v>0</v>
      </c>
      <c r="AD56" s="82">
        <v>0</v>
      </c>
      <c r="AE56" s="76">
        <v>0</v>
      </c>
      <c r="AF56" s="10">
        <v>0</v>
      </c>
      <c r="AG56" s="76">
        <v>0</v>
      </c>
      <c r="AH56" s="23">
        <f>SUM(C56:AG56)</f>
        <v>29250.269999999997</v>
      </c>
    </row>
    <row r="57" spans="1:34" x14ac:dyDescent="0.35">
      <c r="A57" s="93"/>
      <c r="B57" s="8" t="s">
        <v>72</v>
      </c>
      <c r="C57" s="76">
        <v>0</v>
      </c>
      <c r="D57" s="77">
        <v>0</v>
      </c>
      <c r="E57" s="2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26">
        <v>630</v>
      </c>
      <c r="R57" s="76">
        <v>864</v>
      </c>
      <c r="S57" s="76">
        <v>1104</v>
      </c>
      <c r="T57" s="27">
        <v>0</v>
      </c>
      <c r="U57" s="76">
        <v>0</v>
      </c>
      <c r="V57" s="111">
        <v>0</v>
      </c>
      <c r="W57" s="81">
        <v>0</v>
      </c>
      <c r="X57" s="82">
        <v>0</v>
      </c>
      <c r="Y57" s="76">
        <v>0</v>
      </c>
      <c r="Z57" s="76">
        <v>0</v>
      </c>
      <c r="AA57" s="76">
        <v>0</v>
      </c>
      <c r="AB57" s="82">
        <v>0</v>
      </c>
      <c r="AC57" s="76">
        <v>0</v>
      </c>
      <c r="AD57" s="82">
        <v>0</v>
      </c>
      <c r="AE57" s="76">
        <v>0</v>
      </c>
      <c r="AF57" s="10">
        <v>0</v>
      </c>
      <c r="AG57" s="76">
        <v>0</v>
      </c>
      <c r="AH57" s="23">
        <f>SUM(C57:AG57)</f>
        <v>2598</v>
      </c>
    </row>
    <row r="58" spans="1:34" ht="15.5" x14ac:dyDescent="0.35">
      <c r="A58" s="93"/>
      <c r="B58" s="8" t="s">
        <v>73</v>
      </c>
      <c r="C58" s="48">
        <v>0</v>
      </c>
      <c r="D58" s="118">
        <v>0</v>
      </c>
      <c r="E58" s="41">
        <v>0</v>
      </c>
      <c r="F58" s="48">
        <v>0</v>
      </c>
      <c r="G58" s="48">
        <v>0</v>
      </c>
      <c r="H58" s="48">
        <v>0</v>
      </c>
      <c r="I58" s="48">
        <v>0</v>
      </c>
      <c r="J58" s="48" t="e">
        <v>#DIV/0!</v>
      </c>
      <c r="K58" s="48" t="e">
        <v>#DIV/0!</v>
      </c>
      <c r="L58" s="48" t="e">
        <v>#DIV/0!</v>
      </c>
      <c r="M58" s="48" t="e">
        <v>#DIV/0!</v>
      </c>
      <c r="N58" s="48" t="e">
        <v>#DIV/0!</v>
      </c>
      <c r="O58" s="48" t="e">
        <v>#DIV/0!</v>
      </c>
      <c r="P58" s="48">
        <v>0</v>
      </c>
      <c r="Q58" s="41">
        <v>11.054523809523811</v>
      </c>
      <c r="R58" s="48">
        <v>11.284826388888886</v>
      </c>
      <c r="S58" s="48">
        <v>11.354918478260869</v>
      </c>
      <c r="T58" s="114">
        <v>0</v>
      </c>
      <c r="U58" s="41">
        <v>0</v>
      </c>
      <c r="V58" s="115">
        <v>0</v>
      </c>
      <c r="W58" s="54">
        <v>0</v>
      </c>
      <c r="X58" s="48">
        <v>0</v>
      </c>
      <c r="Y58" s="94">
        <v>0</v>
      </c>
      <c r="Z58" s="94">
        <v>0</v>
      </c>
      <c r="AA58" s="94">
        <v>0</v>
      </c>
      <c r="AB58" s="119">
        <v>0</v>
      </c>
      <c r="AC58" s="94" t="e">
        <v>#DIV/0!</v>
      </c>
      <c r="AD58" s="119" t="e">
        <v>#DIV/0!</v>
      </c>
      <c r="AE58" s="94" t="e">
        <v>#DIV/0!</v>
      </c>
      <c r="AF58" s="10" t="e">
        <v>#DIV/0!</v>
      </c>
      <c r="AG58" s="94" t="e">
        <v>#DIV/0!</v>
      </c>
      <c r="AH58" s="101">
        <f>+AH56/AH57</f>
        <v>11.258764434180137</v>
      </c>
    </row>
    <row r="59" spans="1:34" x14ac:dyDescent="0.35">
      <c r="A59" s="93"/>
      <c r="B59" s="8" t="s">
        <v>74</v>
      </c>
      <c r="C59" s="18">
        <v>108393.40030872139</v>
      </c>
      <c r="D59" s="10">
        <v>107134.82416648971</v>
      </c>
      <c r="E59" s="26">
        <v>109803.20271861287</v>
      </c>
      <c r="F59" s="18">
        <v>101793.51987396988</v>
      </c>
      <c r="G59" s="18">
        <v>104760.20827270838</v>
      </c>
      <c r="H59" s="18">
        <v>96213.678315132624</v>
      </c>
      <c r="I59" s="18">
        <v>92327.861465157839</v>
      </c>
      <c r="J59" s="18" t="e">
        <v>#DIV/0!</v>
      </c>
      <c r="K59" s="18">
        <v>106329.55483441504</v>
      </c>
      <c r="L59" s="18">
        <v>107772.69239013926</v>
      </c>
      <c r="M59" s="18">
        <v>115707.84284565916</v>
      </c>
      <c r="N59" s="18">
        <v>84933.363564978412</v>
      </c>
      <c r="O59" s="18">
        <v>103990.97038327529</v>
      </c>
      <c r="P59" s="18">
        <v>115792.43555731539</v>
      </c>
      <c r="Q59" s="26">
        <v>111631.4700861157</v>
      </c>
      <c r="R59" s="18">
        <v>114138.30480480482</v>
      </c>
      <c r="S59" s="18">
        <v>112888.98318972799</v>
      </c>
      <c r="T59" s="27">
        <v>105877.9627757353</v>
      </c>
      <c r="U59" s="18">
        <v>114685.91420389462</v>
      </c>
      <c r="V59" s="111">
        <v>110587.52583237659</v>
      </c>
      <c r="W59" s="21">
        <v>109121.68740607155</v>
      </c>
      <c r="X59" s="22">
        <v>105004.02880299248</v>
      </c>
      <c r="Y59" s="18">
        <v>106415.84147241853</v>
      </c>
      <c r="Z59" s="18">
        <v>108913.05506736966</v>
      </c>
      <c r="AA59" s="18">
        <v>99892.00949152543</v>
      </c>
      <c r="AB59" s="22">
        <v>99178.446842753008</v>
      </c>
      <c r="AC59" s="18" t="e">
        <v>#DIV/0!</v>
      </c>
      <c r="AD59" s="22" t="e">
        <v>#DIV/0!</v>
      </c>
      <c r="AE59" s="18">
        <v>88450.57970511711</v>
      </c>
      <c r="AF59" s="10">
        <v>96224.555307677991</v>
      </c>
      <c r="AG59" s="18">
        <v>91014.809861785587</v>
      </c>
      <c r="AH59" s="23" t="e">
        <f>SUM(C59:AG59)</f>
        <v>#DIV/0!</v>
      </c>
    </row>
    <row r="60" spans="1:34" x14ac:dyDescent="0.35">
      <c r="A60" s="93"/>
      <c r="B60" s="8" t="s">
        <v>75</v>
      </c>
      <c r="C60" s="18">
        <v>14311</v>
      </c>
      <c r="D60" s="10">
        <v>17076</v>
      </c>
      <c r="E60" s="18">
        <v>29475</v>
      </c>
      <c r="F60" s="18">
        <v>16620</v>
      </c>
      <c r="G60" s="18">
        <v>16307</v>
      </c>
      <c r="H60" s="18">
        <v>18716</v>
      </c>
      <c r="I60" s="18">
        <v>23369</v>
      </c>
      <c r="J60" s="18">
        <v>4006</v>
      </c>
      <c r="K60" s="18">
        <v>17583</v>
      </c>
      <c r="L60" s="18">
        <v>10992</v>
      </c>
      <c r="M60" s="18">
        <v>17763</v>
      </c>
      <c r="N60" s="18">
        <v>28800</v>
      </c>
      <c r="O60" s="18">
        <v>17109</v>
      </c>
      <c r="P60" s="18">
        <v>30041</v>
      </c>
      <c r="Q60" s="18">
        <v>24391</v>
      </c>
      <c r="R60" s="18">
        <v>24709</v>
      </c>
      <c r="S60" s="18">
        <v>22473</v>
      </c>
      <c r="T60" s="20">
        <v>10777</v>
      </c>
      <c r="U60" s="18">
        <v>29217</v>
      </c>
      <c r="V60" s="12">
        <v>27004</v>
      </c>
      <c r="W60" s="21">
        <v>24377</v>
      </c>
      <c r="X60" s="22">
        <v>27305</v>
      </c>
      <c r="Y60" s="18">
        <v>30008</v>
      </c>
      <c r="Z60" s="18">
        <v>26271</v>
      </c>
      <c r="AA60" s="18">
        <v>31307</v>
      </c>
      <c r="AB60" s="22">
        <v>33315</v>
      </c>
      <c r="AC60" s="18">
        <v>338</v>
      </c>
      <c r="AD60" s="22">
        <v>3567</v>
      </c>
      <c r="AE60" s="18">
        <v>16944</v>
      </c>
      <c r="AF60" s="10">
        <v>17229</v>
      </c>
      <c r="AG60" s="18">
        <v>16328</v>
      </c>
      <c r="AH60" s="23">
        <f>SUM(C60:AG60)</f>
        <v>627728</v>
      </c>
    </row>
    <row r="61" spans="1:34" ht="15.5" x14ac:dyDescent="0.35">
      <c r="A61" s="93"/>
      <c r="B61" s="8" t="s">
        <v>76</v>
      </c>
      <c r="C61" s="41">
        <v>3.6817597118600465</v>
      </c>
      <c r="D61" s="42">
        <v>3.6262476109577406</v>
      </c>
      <c r="E61" s="41">
        <v>3.1547682757144386</v>
      </c>
      <c r="F61" s="41">
        <v>4.0281143965099373</v>
      </c>
      <c r="G61" s="41">
        <v>3.3895240074828519</v>
      </c>
      <c r="H61" s="41">
        <v>2.9198127925117006</v>
      </c>
      <c r="I61" s="41">
        <v>2.7836807623585469</v>
      </c>
      <c r="J61" s="41" t="e">
        <v>#DIV/0!</v>
      </c>
      <c r="K61" s="41">
        <v>2.9261108337493758</v>
      </c>
      <c r="L61" s="41">
        <v>5.890675241157556</v>
      </c>
      <c r="M61" s="41">
        <v>3.569734726688103</v>
      </c>
      <c r="N61" s="41">
        <v>2.8268551236749118</v>
      </c>
      <c r="O61" s="41">
        <v>3.3118466898954706</v>
      </c>
      <c r="P61" s="41">
        <v>2.9737675707780635</v>
      </c>
      <c r="Q61" s="105">
        <v>3.6849977337966462</v>
      </c>
      <c r="R61" s="41">
        <v>3.5333905333905333</v>
      </c>
      <c r="S61" s="41">
        <v>3.7967562088190574</v>
      </c>
      <c r="T61" s="114">
        <v>4.952665441176471</v>
      </c>
      <c r="U61" s="41">
        <v>3.3467353951890035</v>
      </c>
      <c r="V61" s="115">
        <v>3.4448271463196836</v>
      </c>
      <c r="W61" s="54">
        <v>3.6635106702735198</v>
      </c>
      <c r="X61" s="48">
        <v>3.4046134663341645</v>
      </c>
      <c r="Y61" s="41">
        <v>3.165066976057378</v>
      </c>
      <c r="Z61" s="41">
        <v>3.8475395430579966</v>
      </c>
      <c r="AA61" s="41">
        <v>3.5375141242937853</v>
      </c>
      <c r="AB61" s="48">
        <v>3.1539335416074978</v>
      </c>
      <c r="AC61" s="41" t="e">
        <v>#DIV/0!</v>
      </c>
      <c r="AD61" s="48" t="e">
        <v>#DIV/0!</v>
      </c>
      <c r="AE61" s="41">
        <v>2.9391153512575889</v>
      </c>
      <c r="AF61" s="10">
        <v>3.2030117122141664</v>
      </c>
      <c r="AG61" s="41">
        <v>3.0496824803884945</v>
      </c>
      <c r="AH61" s="101">
        <f>AH60/AH31</f>
        <v>3.3902288856004064</v>
      </c>
    </row>
    <row r="62" spans="1:34" x14ac:dyDescent="0.35">
      <c r="A62" s="93" t="s">
        <v>18</v>
      </c>
      <c r="B62" s="120" t="s">
        <v>77</v>
      </c>
      <c r="C62" s="18">
        <v>0</v>
      </c>
      <c r="D62" s="10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18">
        <v>0</v>
      </c>
      <c r="Q62" s="18">
        <v>0</v>
      </c>
      <c r="R62" s="18">
        <v>0</v>
      </c>
      <c r="S62" s="18">
        <v>0</v>
      </c>
      <c r="T62" s="20">
        <v>0</v>
      </c>
      <c r="U62" s="18">
        <v>0</v>
      </c>
      <c r="V62" s="12">
        <v>0</v>
      </c>
      <c r="W62" s="21">
        <v>0</v>
      </c>
      <c r="X62" s="22">
        <v>0</v>
      </c>
      <c r="Y62" s="18">
        <v>0</v>
      </c>
      <c r="Z62" s="18">
        <v>0</v>
      </c>
      <c r="AA62" s="18">
        <v>0</v>
      </c>
      <c r="AB62" s="22">
        <v>0</v>
      </c>
      <c r="AC62" s="18">
        <v>0</v>
      </c>
      <c r="AD62" s="82">
        <v>0</v>
      </c>
      <c r="AE62" s="18">
        <v>0</v>
      </c>
      <c r="AF62" s="10">
        <v>0</v>
      </c>
      <c r="AG62" s="18">
        <v>0</v>
      </c>
      <c r="AH62" s="121">
        <f>SUM(C62:AG62)</f>
        <v>0</v>
      </c>
    </row>
    <row r="63" spans="1:34" x14ac:dyDescent="0.35">
      <c r="A63" s="93"/>
      <c r="B63" s="120" t="s">
        <v>78</v>
      </c>
      <c r="C63" s="18">
        <v>0</v>
      </c>
      <c r="D63" s="10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76">
        <v>0</v>
      </c>
      <c r="L63" s="76">
        <v>0</v>
      </c>
      <c r="M63" s="76">
        <v>0</v>
      </c>
      <c r="N63" s="76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20">
        <v>0</v>
      </c>
      <c r="U63" s="18">
        <v>0</v>
      </c>
      <c r="V63" s="10">
        <v>0</v>
      </c>
      <c r="W63" s="21">
        <v>0</v>
      </c>
      <c r="X63" s="15">
        <v>0</v>
      </c>
      <c r="Y63" s="18">
        <v>0</v>
      </c>
      <c r="Z63" s="18">
        <v>0</v>
      </c>
      <c r="AA63" s="18">
        <v>0</v>
      </c>
      <c r="AB63" s="22">
        <v>0</v>
      </c>
      <c r="AC63" s="18">
        <v>0</v>
      </c>
      <c r="AD63" s="82">
        <v>0</v>
      </c>
      <c r="AE63" s="18">
        <v>0</v>
      </c>
      <c r="AF63" s="10">
        <v>0</v>
      </c>
      <c r="AG63" s="18">
        <v>0</v>
      </c>
      <c r="AH63" s="121">
        <f>(0.84*AH6)-AH62</f>
        <v>218010.23999999999</v>
      </c>
    </row>
  </sheetData>
  <mergeCells count="6">
    <mergeCell ref="AH2:AH3"/>
    <mergeCell ref="A6:A15"/>
    <mergeCell ref="A16:A21"/>
    <mergeCell ref="A22:A36"/>
    <mergeCell ref="A37:A61"/>
    <mergeCell ref="A62:A63"/>
  </mergeCells>
  <conditionalFormatting sqref="C2:AG2">
    <cfRule type="expression" dxfId="0" priority="1">
      <formula>OR(+C$6="dim")</formula>
    </cfRule>
  </conditionalFormatting>
  <dataValidations count="1">
    <dataValidation type="list" showInputMessage="1" showErrorMessage="1" sqref="AF3 V3 Q3 T3">
      <formula1>"G10 MC,G10 MP,MC&amp;MP,TBT,BG10,BG11,BGAD,BG22, ,Arrêt,MC&amp;BG22:"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2026-07-09T10:24:52Z</dcterms:created>
  <dcterms:modified xsi:type="dcterms:W3CDTF">2026-07-09T10:26:27Z</dcterms:modified>
</cp:coreProperties>
</file>