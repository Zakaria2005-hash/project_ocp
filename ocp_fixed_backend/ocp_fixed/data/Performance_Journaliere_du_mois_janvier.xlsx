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200" windowHeight="81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59" i="1" l="1"/>
  <c r="AH57" i="1"/>
  <c r="AH58" i="1" s="1"/>
  <c r="AH56" i="1"/>
  <c r="AH54" i="1"/>
  <c r="AH53" i="1"/>
  <c r="AH55" i="1" s="1"/>
  <c r="AH52" i="1"/>
  <c r="AH51" i="1"/>
  <c r="AH50" i="1"/>
  <c r="AH48" i="1"/>
  <c r="AH47" i="1"/>
  <c r="AH49" i="1" s="1"/>
  <c r="AH46" i="1"/>
  <c r="AH45" i="1"/>
  <c r="AH44" i="1"/>
  <c r="AH43" i="1"/>
  <c r="AH42" i="1"/>
  <c r="AH41" i="1"/>
  <c r="AH40" i="1"/>
  <c r="AH39" i="1"/>
  <c r="AH38" i="1"/>
  <c r="AH25" i="1" s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3" i="1"/>
  <c r="AH22" i="1"/>
  <c r="AH21" i="1"/>
  <c r="AH20" i="1"/>
  <c r="AH19" i="1"/>
  <c r="AH18" i="1"/>
  <c r="AH17" i="1"/>
  <c r="AH16" i="1"/>
  <c r="AH15" i="1"/>
  <c r="AH14" i="1"/>
  <c r="AH13" i="1"/>
  <c r="AH11" i="1"/>
  <c r="AH10" i="1"/>
  <c r="AH8" i="1"/>
  <c r="AH7" i="1"/>
  <c r="AH6" i="1"/>
  <c r="AH60" i="1" s="1"/>
  <c r="AH5" i="1"/>
  <c r="AH4" i="1"/>
  <c r="AH12" i="1" s="1"/>
  <c r="D2" i="1"/>
  <c r="E2" i="1" l="1"/>
  <c r="AH9" i="1"/>
  <c r="F2" i="1" l="1"/>
  <c r="G2" i="1" l="1"/>
  <c r="H2" i="1" l="1"/>
  <c r="I2" i="1" l="1"/>
  <c r="J2" i="1" l="1"/>
  <c r="K2" i="1" l="1"/>
  <c r="L2" i="1" l="1"/>
  <c r="M2" i="1" l="1"/>
  <c r="N2" i="1" l="1"/>
  <c r="O2" i="1" l="1"/>
  <c r="P2" i="1" l="1"/>
  <c r="Q2" i="1" l="1"/>
  <c r="R2" i="1" l="1"/>
  <c r="S2" i="1" l="1"/>
  <c r="T2" i="1" l="1"/>
  <c r="U2" i="1" l="1"/>
  <c r="V2" i="1" l="1"/>
  <c r="W2" i="1" l="1"/>
  <c r="X2" i="1" l="1"/>
  <c r="Y2" i="1" l="1"/>
  <c r="Z2" i="1" l="1"/>
  <c r="AA2" i="1" l="1"/>
  <c r="AB2" i="1" l="1"/>
  <c r="AC2" i="1" l="1"/>
  <c r="AD2" i="1" l="1"/>
  <c r="AE2" i="1" l="1"/>
  <c r="AF2" i="1" l="1"/>
  <c r="AG2" i="1" l="1"/>
</calcChain>
</file>

<file path=xl/sharedStrings.xml><?xml version="1.0" encoding="utf-8"?>
<sst xmlns="http://schemas.openxmlformats.org/spreadsheetml/2006/main" count="130" uniqueCount="77">
  <si>
    <t>TOTAL</t>
  </si>
  <si>
    <t>Qualité</t>
  </si>
  <si>
    <t>Qualité traitée</t>
  </si>
  <si>
    <t>MC/MP</t>
  </si>
  <si>
    <t>MC</t>
  </si>
  <si>
    <t>MC/MP/BG10</t>
  </si>
  <si>
    <t>MC/BG10</t>
  </si>
  <si>
    <t>Produit G10</t>
  </si>
  <si>
    <t>Alimentation par camions (T)</t>
  </si>
  <si>
    <t>stock LF</t>
  </si>
  <si>
    <t>quantité d'eau drainage(m3)</t>
  </si>
  <si>
    <t>Roue pelle TAIM</t>
  </si>
  <si>
    <t>Tonnage G10 + BG10 (T)</t>
  </si>
  <si>
    <t>Tonnage G10 (T)</t>
  </si>
  <si>
    <t>Tonnage BG10 (T)</t>
  </si>
  <si>
    <t>Débit horaire (T/H)</t>
  </si>
  <si>
    <t>Alimentation par chargeuse</t>
  </si>
  <si>
    <t>G10 (T)</t>
  </si>
  <si>
    <t>% G10 Chargeuse</t>
  </si>
  <si>
    <t xml:space="preserve"> BT (T)</t>
  </si>
  <si>
    <t>% BT Chargeuse</t>
  </si>
  <si>
    <t>HM</t>
  </si>
  <si>
    <t>Liaison US-UC</t>
  </si>
  <si>
    <t>Tonnage transporté (T)</t>
  </si>
  <si>
    <t>Tonnage transporté G10 (T)</t>
  </si>
  <si>
    <t>Tonnage transporté MT (T)</t>
  </si>
  <si>
    <t>Débit (T/H)</t>
  </si>
  <si>
    <t>Stockage Local  (T)</t>
  </si>
  <si>
    <t>Production</t>
  </si>
  <si>
    <t>Débit horaire par four (T/H)</t>
  </si>
  <si>
    <t>Débit horaire par four  en MC(T/H)</t>
  </si>
  <si>
    <t>Débit horaire par four en MP (T/H)</t>
  </si>
  <si>
    <t>Débit horaire par four en BG10 (T/H)</t>
  </si>
  <si>
    <t>Tonnage dosage</t>
  </si>
  <si>
    <t>Humidité entrée %</t>
  </si>
  <si>
    <t>Humidité sortie MC %</t>
  </si>
  <si>
    <t>Humidité sortie MP %</t>
  </si>
  <si>
    <t>Humidité sortie BG10 %</t>
  </si>
  <si>
    <t>Production totale</t>
  </si>
  <si>
    <t>Production MC</t>
  </si>
  <si>
    <t>Production MP</t>
  </si>
  <si>
    <t>Production BG10</t>
  </si>
  <si>
    <t>Performance</t>
  </si>
  <si>
    <t>HM en MC</t>
  </si>
  <si>
    <t>HM en MP</t>
  </si>
  <si>
    <t>HM en BG10</t>
  </si>
  <si>
    <t>HM Four N°1</t>
  </si>
  <si>
    <t>HM Four N°2</t>
  </si>
  <si>
    <t>HM Four N°3</t>
  </si>
  <si>
    <t>HM Four N°4</t>
  </si>
  <si>
    <t>HM Four N°5</t>
  </si>
  <si>
    <t>HM Four N°6</t>
  </si>
  <si>
    <t>HM Four N°7</t>
  </si>
  <si>
    <t>HM Four N°8</t>
  </si>
  <si>
    <t>Consommation GAZ (Nm3)</t>
  </si>
  <si>
    <t>Tonnage traité gaz</t>
  </si>
  <si>
    <t>Cs Gas (Nm3/T)</t>
  </si>
  <si>
    <t>Consommation gazoline (kg)</t>
  </si>
  <si>
    <t>Tonnage traité gazoline</t>
  </si>
  <si>
    <t>Cs gazoline (kg/T)</t>
  </si>
  <si>
    <t>Consommation Fuel (kg)</t>
  </si>
  <si>
    <t>Tonnage traité fuel</t>
  </si>
  <si>
    <t>Cs Fuel (kg/T)</t>
  </si>
  <si>
    <t xml:space="preserve">Consommation d'énergie (kcal/T) </t>
  </si>
  <si>
    <t>Consommation Electricité (kwh)</t>
  </si>
  <si>
    <t>Cs électricité (Kwh/T)</t>
  </si>
  <si>
    <t>Production UL</t>
  </si>
  <si>
    <t>Ecart  reprise RP3 production UL</t>
  </si>
  <si>
    <t>mar.</t>
  </si>
  <si>
    <t>mer.</t>
  </si>
  <si>
    <t>jeu.</t>
  </si>
  <si>
    <t>ven.</t>
  </si>
  <si>
    <t>sam.</t>
  </si>
  <si>
    <t>dim.</t>
  </si>
  <si>
    <t>lun.</t>
  </si>
  <si>
    <t>21.68</t>
  </si>
  <si>
    <t>jeu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</si>
</sst>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Times New Roman"/>
      <family val="1"/>
    </font>
    <font>
      <b/>
      <sz val="9"/>
      <color theme="1"/>
      <name val="Calibri"/>
      <family val="2"/>
      <scheme val="minor"/>
    </font>
    <font>
      <b/>
      <sz val="9"/>
      <color rgb="FF0070C0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4" fontId="0" fillId="2" borderId="1" xfId="0" applyNumberFormat="1" applyFill="1" applyBorder="1" applyAlignment="1">
      <alignment horizontal="center"/>
    </xf>
    <xf numFmtId="1" fontId="4" fillId="3" borderId="2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Protection="1">
      <protection locked="0"/>
    </xf>
    <xf numFmtId="1" fontId="2" fillId="0" borderId="1" xfId="0" applyNumberFormat="1" applyFont="1" applyBorder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" fontId="2" fillId="4" borderId="3" xfId="0" applyNumberFormat="1" applyFont="1" applyFill="1" applyBorder="1" applyAlignment="1" applyProtection="1">
      <alignment horizontal="center"/>
      <protection locked="0"/>
    </xf>
    <xf numFmtId="1" fontId="0" fillId="4" borderId="3" xfId="0" applyNumberFormat="1" applyFill="1" applyBorder="1" applyAlignment="1" applyProtection="1">
      <alignment horizontal="right"/>
      <protection locked="0"/>
    </xf>
    <xf numFmtId="1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center"/>
    </xf>
    <xf numFmtId="1" fontId="2" fillId="4" borderId="1" xfId="0" applyNumberFormat="1" applyFont="1" applyFill="1" applyBorder="1" applyAlignment="1" applyProtection="1">
      <alignment horizontal="center"/>
      <protection locked="0"/>
    </xf>
    <xf numFmtId="1" fontId="2" fillId="4" borderId="1" xfId="0" applyNumberFormat="1" applyFont="1" applyFill="1" applyBorder="1" applyAlignment="1" applyProtection="1">
      <alignment horizontal="center" vertical="center"/>
      <protection locked="0"/>
    </xf>
    <xf numFmtId="1" fontId="4" fillId="3" borderId="4" xfId="0" applyNumberFormat="1" applyFont="1" applyFill="1" applyBorder="1" applyAlignment="1" applyProtection="1">
      <alignment horizontal="center" vertical="center"/>
      <protection locked="0"/>
    </xf>
    <xf numFmtId="1" fontId="0" fillId="4" borderId="1" xfId="0" applyNumberFormat="1" applyFill="1" applyBorder="1" applyAlignment="1" applyProtection="1">
      <alignment horizontal="center"/>
      <protection locked="0"/>
    </xf>
    <xf numFmtId="1" fontId="0" fillId="4" borderId="1" xfId="0" applyNumberFormat="1" applyFill="1" applyBorder="1" applyProtection="1">
      <protection locked="0"/>
    </xf>
    <xf numFmtId="1" fontId="0" fillId="4" borderId="1" xfId="0" applyNumberFormat="1" applyFill="1" applyBorder="1" applyAlignment="1" applyProtection="1">
      <alignment horizontal="center" vertical="top"/>
      <protection locked="0"/>
    </xf>
    <xf numFmtId="1" fontId="0" fillId="4" borderId="1" xfId="0" applyNumberFormat="1" applyFill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1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/>
    <xf numFmtId="1" fontId="2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Protection="1">
      <protection locked="0"/>
    </xf>
    <xf numFmtId="0" fontId="2" fillId="4" borderId="1" xfId="0" applyFont="1" applyFill="1" applyBorder="1" applyAlignment="1" applyProtection="1">
      <alignment horizontal="center"/>
      <protection locked="0"/>
    </xf>
    <xf numFmtId="9" fontId="2" fillId="0" borderId="1" xfId="0" applyNumberFormat="1" applyFont="1" applyBorder="1" applyAlignment="1">
      <alignment horizontal="center"/>
    </xf>
    <xf numFmtId="9" fontId="0" fillId="4" borderId="1" xfId="0" applyNumberFormat="1" applyFill="1" applyBorder="1" applyAlignment="1" applyProtection="1">
      <alignment horizontal="center"/>
      <protection locked="0"/>
    </xf>
    <xf numFmtId="9" fontId="0" fillId="4" borderId="1" xfId="0" applyNumberFormat="1" applyFill="1" applyBorder="1" applyAlignment="1" applyProtection="1">
      <alignment horizontal="right"/>
      <protection locked="0"/>
    </xf>
    <xf numFmtId="9" fontId="2" fillId="4" borderId="1" xfId="0" applyNumberFormat="1" applyFont="1" applyFill="1" applyBorder="1" applyAlignment="1" applyProtection="1">
      <alignment horizontal="center"/>
      <protection locked="0"/>
    </xf>
    <xf numFmtId="9" fontId="2" fillId="0" borderId="1" xfId="0" applyNumberFormat="1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9" fontId="0" fillId="4" borderId="1" xfId="0" applyNumberFormat="1" applyFill="1" applyBorder="1" applyProtection="1"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2" fontId="0" fillId="4" borderId="1" xfId="0" applyNumberFormat="1" applyFill="1" applyBorder="1" applyAlignment="1" applyProtection="1">
      <alignment horizontal="center"/>
      <protection locked="0"/>
    </xf>
    <xf numFmtId="164" fontId="0" fillId="4" borderId="1" xfId="0" applyNumberFormat="1" applyFill="1" applyBorder="1" applyAlignment="1" applyProtection="1">
      <alignment horizontal="center"/>
      <protection locked="0"/>
    </xf>
    <xf numFmtId="2" fontId="0" fillId="4" borderId="1" xfId="0" applyNumberFormat="1" applyFill="1" applyBorder="1" applyProtection="1">
      <protection locked="0"/>
    </xf>
    <xf numFmtId="2" fontId="2" fillId="4" borderId="1" xfId="0" applyNumberFormat="1" applyFont="1" applyFill="1" applyBorder="1" applyAlignment="1" applyProtection="1">
      <alignment horizontal="center"/>
      <protection locked="0"/>
    </xf>
    <xf numFmtId="164" fontId="0" fillId="4" borderId="1" xfId="0" applyNumberFormat="1" applyFill="1" applyBorder="1" applyAlignment="1" applyProtection="1">
      <alignment horizontal="center" vertical="top"/>
      <protection locked="0"/>
    </xf>
    <xf numFmtId="164" fontId="0" fillId="4" borderId="1" xfId="0" applyNumberFormat="1" applyFill="1" applyBorder="1" applyAlignment="1" applyProtection="1">
      <alignment horizontal="center" vertical="center"/>
      <protection locked="0"/>
    </xf>
    <xf numFmtId="2" fontId="0" fillId="4" borderId="1" xfId="0" applyNumberFormat="1" applyFill="1" applyBorder="1" applyAlignment="1" applyProtection="1">
      <alignment horizontal="center" vertical="center"/>
      <protection locked="0"/>
    </xf>
    <xf numFmtId="164" fontId="2" fillId="4" borderId="1" xfId="0" applyNumberFormat="1" applyFon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9" fontId="0" fillId="4" borderId="1" xfId="1" applyFont="1" applyFill="1" applyBorder="1" applyAlignment="1" applyProtection="1">
      <alignment horizontal="center"/>
      <protection locked="0"/>
    </xf>
    <xf numFmtId="2" fontId="0" fillId="4" borderId="1" xfId="0" applyNumberFormat="1" applyFill="1" applyBorder="1" applyAlignment="1" applyProtection="1">
      <alignment horizontal="center" vertical="top"/>
      <protection locked="0"/>
    </xf>
    <xf numFmtId="1" fontId="2" fillId="4" borderId="1" xfId="0" applyNumberFormat="1" applyFont="1" applyFill="1" applyBorder="1" applyAlignment="1">
      <alignment horizontal="center" vertical="top"/>
    </xf>
    <xf numFmtId="1" fontId="2" fillId="4" borderId="1" xfId="0" applyNumberFormat="1" applyFont="1" applyFill="1" applyBorder="1" applyAlignment="1">
      <alignment horizontal="center" vertical="center"/>
    </xf>
    <xf numFmtId="1" fontId="6" fillId="0" borderId="1" xfId="1" applyNumberFormat="1" applyFont="1" applyFill="1" applyBorder="1" applyAlignment="1" applyProtection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1" fontId="0" fillId="4" borderId="1" xfId="0" applyNumberFormat="1" applyFill="1" applyBorder="1" applyAlignment="1" applyProtection="1">
      <alignment horizontal="right"/>
      <protection locked="0"/>
    </xf>
    <xf numFmtId="1" fontId="7" fillId="4" borderId="3" xfId="0" applyNumberFormat="1" applyFont="1" applyFill="1" applyBorder="1" applyAlignment="1">
      <alignment horizontal="center"/>
    </xf>
    <xf numFmtId="0" fontId="0" fillId="2" borderId="8" xfId="0" applyFill="1" applyBorder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1" fontId="0" fillId="4" borderId="3" xfId="0" applyNumberFormat="1" applyFill="1" applyBorder="1" applyAlignment="1" applyProtection="1">
      <alignment horizontal="center"/>
      <protection locked="0"/>
    </xf>
    <xf numFmtId="10" fontId="0" fillId="4" borderId="1" xfId="1" applyNumberFormat="1" applyFont="1" applyFill="1" applyBorder="1" applyAlignment="1" applyProtection="1">
      <alignment horizontal="center"/>
      <protection locked="0"/>
    </xf>
    <xf numFmtId="10" fontId="1" fillId="4" borderId="1" xfId="1" applyNumberFormat="1" applyFont="1" applyFill="1" applyBorder="1" applyAlignment="1" applyProtection="1">
      <alignment horizontal="center"/>
      <protection locked="0"/>
    </xf>
    <xf numFmtId="10" fontId="1" fillId="4" borderId="1" xfId="1" applyNumberFormat="1" applyFont="1" applyFill="1" applyBorder="1" applyAlignment="1" applyProtection="1">
      <alignment horizontal="right"/>
      <protection locked="0"/>
    </xf>
    <xf numFmtId="10" fontId="2" fillId="4" borderId="1" xfId="1" applyNumberFormat="1" applyFont="1" applyFill="1" applyBorder="1" applyAlignment="1" applyProtection="1">
      <alignment horizontal="center"/>
      <protection locked="0"/>
    </xf>
    <xf numFmtId="10" fontId="0" fillId="4" borderId="1" xfId="1" applyNumberFormat="1" applyFont="1" applyFill="1" applyBorder="1" applyAlignment="1" applyProtection="1">
      <alignment horizontal="center" vertical="top"/>
      <protection locked="0"/>
    </xf>
    <xf numFmtId="10" fontId="0" fillId="4" borderId="1" xfId="1" applyNumberFormat="1" applyFont="1" applyFill="1" applyBorder="1" applyAlignment="1" applyProtection="1">
      <alignment horizontal="center" vertical="center"/>
      <protection locked="0"/>
    </xf>
    <xf numFmtId="165" fontId="0" fillId="4" borderId="1" xfId="1" applyNumberFormat="1" applyFont="1" applyFill="1" applyBorder="1" applyAlignment="1" applyProtection="1">
      <alignment horizontal="center"/>
      <protection locked="0"/>
    </xf>
    <xf numFmtId="10" fontId="0" fillId="4" borderId="1" xfId="0" quotePrefix="1" applyNumberFormat="1" applyFill="1" applyBorder="1" applyAlignment="1" applyProtection="1">
      <alignment horizontal="center"/>
      <protection locked="0"/>
    </xf>
    <xf numFmtId="10" fontId="0" fillId="4" borderId="1" xfId="0" quotePrefix="1" applyNumberFormat="1" applyFill="1" applyBorder="1" applyAlignment="1" applyProtection="1">
      <alignment horizontal="right"/>
      <protection locked="0"/>
    </xf>
    <xf numFmtId="10" fontId="2" fillId="4" borderId="1" xfId="0" quotePrefix="1" applyNumberFormat="1" applyFont="1" applyFill="1" applyBorder="1" applyAlignment="1" applyProtection="1">
      <alignment horizontal="center"/>
      <protection locked="0"/>
    </xf>
    <xf numFmtId="10" fontId="0" fillId="4" borderId="1" xfId="0" applyNumberFormat="1" applyFill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/>
      <protection locked="0"/>
    </xf>
    <xf numFmtId="10" fontId="0" fillId="0" borderId="1" xfId="0" applyNumberFormat="1" applyBorder="1" applyAlignment="1" applyProtection="1">
      <alignment horizontal="center"/>
      <protection locked="0"/>
    </xf>
    <xf numFmtId="10" fontId="0" fillId="0" borderId="1" xfId="1" applyNumberFormat="1" applyFont="1" applyBorder="1" applyAlignment="1" applyProtection="1">
      <alignment horizontal="center"/>
      <protection locked="0"/>
    </xf>
    <xf numFmtId="165" fontId="0" fillId="0" borderId="1" xfId="1" applyNumberFormat="1" applyFont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 vertical="top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1" fontId="7" fillId="4" borderId="1" xfId="0" applyNumberFormat="1" applyFont="1" applyFill="1" applyBorder="1" applyAlignment="1" applyProtection="1">
      <alignment horizontal="center"/>
      <protection locked="0"/>
    </xf>
    <xf numFmtId="1" fontId="0" fillId="0" borderId="1" xfId="0" applyNumberFormat="1" applyBorder="1" applyProtection="1">
      <protection locked="0"/>
    </xf>
    <xf numFmtId="1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1" fontId="7" fillId="0" borderId="1" xfId="0" applyNumberFormat="1" applyFont="1" applyBorder="1" applyAlignment="1">
      <alignment horizontal="center"/>
    </xf>
    <xf numFmtId="2" fontId="0" fillId="0" borderId="1" xfId="0" applyNumberFormat="1" applyBorder="1" applyAlignment="1" applyProtection="1">
      <alignment horizontal="center"/>
      <protection locked="0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 applyProtection="1">
      <alignment horizontal="center"/>
      <protection locked="0"/>
    </xf>
    <xf numFmtId="2" fontId="9" fillId="0" borderId="1" xfId="0" applyNumberFormat="1" applyFont="1" applyBorder="1"/>
    <xf numFmtId="2" fontId="8" fillId="0" borderId="1" xfId="0" applyNumberFormat="1" applyFont="1" applyBorder="1" applyAlignment="1">
      <alignment horizontal="center"/>
    </xf>
    <xf numFmtId="2" fontId="0" fillId="0" borderId="1" xfId="0" applyNumberFormat="1" applyBorder="1" applyAlignment="1" applyProtection="1">
      <alignment horizontal="center" vertical="top"/>
      <protection locked="0"/>
    </xf>
    <xf numFmtId="4" fontId="6" fillId="0" borderId="1" xfId="0" applyNumberFormat="1" applyFont="1" applyBorder="1" applyAlignment="1">
      <alignment horizontal="center" vertical="center"/>
    </xf>
    <xf numFmtId="2" fontId="0" fillId="0" borderId="1" xfId="0" applyNumberFormat="1" applyBorder="1"/>
    <xf numFmtId="2" fontId="2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/>
    <xf numFmtId="2" fontId="2" fillId="4" borderId="1" xfId="0" applyNumberFormat="1" applyFont="1" applyFill="1" applyBorder="1" applyAlignment="1">
      <alignment horizontal="center"/>
    </xf>
    <xf numFmtId="1" fontId="10" fillId="4" borderId="1" xfId="0" applyNumberFormat="1" applyFont="1" applyFill="1" applyBorder="1" applyAlignment="1" applyProtection="1">
      <alignment horizontal="center"/>
      <protection locked="0"/>
    </xf>
    <xf numFmtId="1" fontId="2" fillId="4" borderId="3" xfId="0" applyNumberFormat="1" applyFont="1" applyFill="1" applyBorder="1" applyAlignment="1">
      <alignment horizontal="center"/>
    </xf>
    <xf numFmtId="1" fontId="10" fillId="4" borderId="1" xfId="0" applyNumberFormat="1" applyFont="1" applyFill="1" applyBorder="1" applyAlignment="1" applyProtection="1">
      <alignment horizontal="center" vertical="top"/>
      <protection locked="0"/>
    </xf>
    <xf numFmtId="1" fontId="10" fillId="4" borderId="1" xfId="0" applyNumberFormat="1" applyFont="1" applyFill="1" applyBorder="1" applyAlignment="1" applyProtection="1">
      <alignment horizontal="center" vertical="center"/>
      <protection locked="0"/>
    </xf>
    <xf numFmtId="2" fontId="9" fillId="4" borderId="1" xfId="0" applyNumberFormat="1" applyFont="1" applyFill="1" applyBorder="1" applyAlignment="1">
      <alignment vertical="center"/>
    </xf>
    <xf numFmtId="2" fontId="8" fillId="4" borderId="3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top"/>
      <protection locked="0"/>
    </xf>
    <xf numFmtId="2" fontId="0" fillId="0" borderId="1" xfId="0" applyNumberForma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4" fontId="6" fillId="4" borderId="1" xfId="0" applyNumberFormat="1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/>
    </xf>
    <xf numFmtId="0" fontId="0" fillId="4" borderId="3" xfId="0" applyFill="1" applyBorder="1" applyAlignment="1" applyProtection="1">
      <alignment horizontal="center"/>
      <protection locked="0"/>
    </xf>
    <xf numFmtId="9" fontId="2" fillId="0" borderId="3" xfId="0" applyNumberFormat="1" applyFont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</cellXfs>
  <cellStyles count="2">
    <cellStyle name="Normal" xfId="0" builtinId="0"/>
    <cellStyle name="Pourcentage" xfId="1" builtinId="5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0"/>
  <sheetViews>
    <sheetView tabSelected="1" zoomScale="82" workbookViewId="0">
      <selection activeCell="AK13" sqref="AK13"/>
    </sheetView>
  </sheetViews>
  <sheetFormatPr baseColWidth="10" defaultRowHeight="14.5" x14ac:dyDescent="0.35"/>
  <cols>
    <col min="1" max="1" width="16.36328125" customWidth="1"/>
    <col min="2" max="2" width="26.54296875" customWidth="1"/>
    <col min="11" max="11" width="12.90625" customWidth="1"/>
  </cols>
  <sheetData>
    <row r="1" spans="1:34" x14ac:dyDescent="0.35">
      <c r="A1" s="1"/>
      <c r="B1" s="2"/>
      <c r="C1" s="3" t="s">
        <v>76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68</v>
      </c>
      <c r="I1" s="3" t="s">
        <v>69</v>
      </c>
      <c r="J1" s="3" t="s">
        <v>70</v>
      </c>
      <c r="K1" s="3" t="s">
        <v>71</v>
      </c>
      <c r="L1" s="3" t="s">
        <v>72</v>
      </c>
      <c r="M1" s="3" t="s">
        <v>73</v>
      </c>
      <c r="N1" s="3" t="s">
        <v>74</v>
      </c>
      <c r="O1" s="3" t="s">
        <v>68</v>
      </c>
      <c r="P1" s="3" t="s">
        <v>69</v>
      </c>
      <c r="Q1" s="3" t="s">
        <v>70</v>
      </c>
      <c r="R1" s="3" t="s">
        <v>71</v>
      </c>
      <c r="S1" s="3" t="s">
        <v>72</v>
      </c>
      <c r="T1" s="3" t="s">
        <v>73</v>
      </c>
      <c r="U1" s="3" t="s">
        <v>74</v>
      </c>
      <c r="V1" s="3" t="s">
        <v>68</v>
      </c>
      <c r="W1" s="3" t="s">
        <v>69</v>
      </c>
      <c r="X1" s="3" t="s">
        <v>70</v>
      </c>
      <c r="Y1" s="3" t="s">
        <v>71</v>
      </c>
      <c r="Z1" s="3" t="s">
        <v>72</v>
      </c>
      <c r="AA1" s="3" t="s">
        <v>73</v>
      </c>
      <c r="AB1" s="3" t="s">
        <v>74</v>
      </c>
      <c r="AC1" s="3" t="s">
        <v>68</v>
      </c>
      <c r="AD1" s="3" t="s">
        <v>69</v>
      </c>
      <c r="AE1" s="3" t="s">
        <v>70</v>
      </c>
      <c r="AF1" s="3" t="s">
        <v>71</v>
      </c>
      <c r="AG1" s="3" t="s">
        <v>72</v>
      </c>
      <c r="AH1" s="1"/>
    </row>
    <row r="2" spans="1:34" x14ac:dyDescent="0.35">
      <c r="A2" s="1"/>
      <c r="B2" s="4"/>
      <c r="C2" s="5">
        <v>46023</v>
      </c>
      <c r="D2" s="5">
        <f>IF(C2+1&gt;EOMONTH(C2,0),"",C2+1)</f>
        <v>46024</v>
      </c>
      <c r="E2" s="5">
        <f t="shared" ref="E2:AG2" si="0">IF(D2+1&gt;EOMONTH(D2,0),"",D2+1)</f>
        <v>46025</v>
      </c>
      <c r="F2" s="5">
        <f t="shared" si="0"/>
        <v>46026</v>
      </c>
      <c r="G2" s="5">
        <f t="shared" si="0"/>
        <v>46027</v>
      </c>
      <c r="H2" s="5">
        <f t="shared" si="0"/>
        <v>46028</v>
      </c>
      <c r="I2" s="5">
        <f t="shared" si="0"/>
        <v>46029</v>
      </c>
      <c r="J2" s="5">
        <f t="shared" si="0"/>
        <v>46030</v>
      </c>
      <c r="K2" s="5">
        <f t="shared" si="0"/>
        <v>46031</v>
      </c>
      <c r="L2" s="5">
        <f t="shared" si="0"/>
        <v>46032</v>
      </c>
      <c r="M2" s="5">
        <f t="shared" si="0"/>
        <v>46033</v>
      </c>
      <c r="N2" s="5">
        <f t="shared" si="0"/>
        <v>46034</v>
      </c>
      <c r="O2" s="5">
        <f t="shared" si="0"/>
        <v>46035</v>
      </c>
      <c r="P2" s="5">
        <f t="shared" si="0"/>
        <v>46036</v>
      </c>
      <c r="Q2" s="5">
        <f t="shared" si="0"/>
        <v>46037</v>
      </c>
      <c r="R2" s="5">
        <f t="shared" si="0"/>
        <v>46038</v>
      </c>
      <c r="S2" s="5">
        <f t="shared" si="0"/>
        <v>46039</v>
      </c>
      <c r="T2" s="5">
        <f t="shared" si="0"/>
        <v>46040</v>
      </c>
      <c r="U2" s="5">
        <f t="shared" si="0"/>
        <v>46041</v>
      </c>
      <c r="V2" s="5">
        <f t="shared" si="0"/>
        <v>46042</v>
      </c>
      <c r="W2" s="5">
        <f t="shared" si="0"/>
        <v>46043</v>
      </c>
      <c r="X2" s="5">
        <f t="shared" si="0"/>
        <v>46044</v>
      </c>
      <c r="Y2" s="5">
        <f t="shared" si="0"/>
        <v>46045</v>
      </c>
      <c r="Z2" s="5">
        <f t="shared" si="0"/>
        <v>46046</v>
      </c>
      <c r="AA2" s="5">
        <f t="shared" si="0"/>
        <v>46047</v>
      </c>
      <c r="AB2" s="5">
        <f t="shared" si="0"/>
        <v>46048</v>
      </c>
      <c r="AC2" s="5">
        <f t="shared" si="0"/>
        <v>46049</v>
      </c>
      <c r="AD2" s="5">
        <f t="shared" si="0"/>
        <v>46050</v>
      </c>
      <c r="AE2" s="5">
        <f t="shared" si="0"/>
        <v>46051</v>
      </c>
      <c r="AF2" s="5">
        <f t="shared" si="0"/>
        <v>46052</v>
      </c>
      <c r="AG2" s="5">
        <f t="shared" si="0"/>
        <v>46053</v>
      </c>
      <c r="AH2" s="6" t="s">
        <v>0</v>
      </c>
    </row>
    <row r="3" spans="1:34" x14ac:dyDescent="0.35">
      <c r="A3" s="7" t="s">
        <v>1</v>
      </c>
      <c r="B3" s="8" t="s">
        <v>2</v>
      </c>
      <c r="C3" s="9" t="s">
        <v>3</v>
      </c>
      <c r="D3" s="10" t="s">
        <v>3</v>
      </c>
      <c r="E3" s="9" t="s">
        <v>4</v>
      </c>
      <c r="F3" s="9" t="s">
        <v>3</v>
      </c>
      <c r="G3" s="9" t="s">
        <v>4</v>
      </c>
      <c r="H3" s="11" t="s">
        <v>4</v>
      </c>
      <c r="I3" s="114" t="s">
        <v>3</v>
      </c>
      <c r="J3" s="9" t="s">
        <v>4</v>
      </c>
      <c r="K3" s="9" t="s">
        <v>5</v>
      </c>
      <c r="L3" s="9" t="s">
        <v>3</v>
      </c>
      <c r="M3" s="9" t="s">
        <v>3</v>
      </c>
      <c r="N3" s="9" t="s">
        <v>3</v>
      </c>
      <c r="O3" s="9" t="s">
        <v>3</v>
      </c>
      <c r="P3" s="9" t="s">
        <v>3</v>
      </c>
      <c r="Q3" s="12" t="s">
        <v>6</v>
      </c>
      <c r="R3" s="9" t="s">
        <v>4</v>
      </c>
      <c r="S3" s="9" t="s">
        <v>4</v>
      </c>
      <c r="T3" s="13" t="s">
        <v>4</v>
      </c>
      <c r="U3" s="9" t="s">
        <v>4</v>
      </c>
      <c r="V3" s="12" t="s">
        <v>4</v>
      </c>
      <c r="W3" s="14" t="s">
        <v>4</v>
      </c>
      <c r="X3" s="15" t="s">
        <v>4</v>
      </c>
      <c r="Y3" s="9" t="s">
        <v>3</v>
      </c>
      <c r="Z3" s="9" t="s">
        <v>3</v>
      </c>
      <c r="AA3" s="16" t="s">
        <v>3</v>
      </c>
      <c r="AB3" s="17" t="s">
        <v>3</v>
      </c>
      <c r="AC3" s="16" t="s">
        <v>3</v>
      </c>
      <c r="AD3" s="17" t="s">
        <v>3</v>
      </c>
      <c r="AE3" s="16" t="s">
        <v>3</v>
      </c>
      <c r="AF3" s="16" t="s">
        <v>3</v>
      </c>
      <c r="AG3" s="16" t="s">
        <v>3</v>
      </c>
      <c r="AH3" s="18"/>
    </row>
    <row r="4" spans="1:34" x14ac:dyDescent="0.35">
      <c r="A4" s="7" t="s">
        <v>7</v>
      </c>
      <c r="B4" s="8" t="s">
        <v>8</v>
      </c>
      <c r="C4" s="19">
        <v>2193</v>
      </c>
      <c r="D4" s="10">
        <v>0</v>
      </c>
      <c r="E4" s="19">
        <v>0</v>
      </c>
      <c r="F4" s="19">
        <v>0</v>
      </c>
      <c r="G4" s="19">
        <v>0</v>
      </c>
      <c r="H4" s="61">
        <v>0</v>
      </c>
      <c r="I4" s="114">
        <v>0</v>
      </c>
      <c r="J4" s="19">
        <v>0</v>
      </c>
      <c r="K4" s="19">
        <v>5326</v>
      </c>
      <c r="L4" s="19">
        <v>0</v>
      </c>
      <c r="M4" s="19">
        <v>0</v>
      </c>
      <c r="N4" s="19">
        <v>1741</v>
      </c>
      <c r="O4" s="19">
        <v>5267</v>
      </c>
      <c r="P4" s="19">
        <v>2100</v>
      </c>
      <c r="Q4" s="19">
        <v>3647</v>
      </c>
      <c r="R4" s="19">
        <v>3784</v>
      </c>
      <c r="S4" s="19">
        <v>2738</v>
      </c>
      <c r="T4" s="20">
        <v>3466</v>
      </c>
      <c r="U4" s="19">
        <v>1651</v>
      </c>
      <c r="V4" s="16">
        <v>1778</v>
      </c>
      <c r="W4" s="21">
        <v>4357</v>
      </c>
      <c r="X4" s="22">
        <v>2646</v>
      </c>
      <c r="Y4" s="19">
        <v>2555</v>
      </c>
      <c r="Z4" s="19">
        <v>1984</v>
      </c>
      <c r="AA4" s="19">
        <v>3424</v>
      </c>
      <c r="AB4" s="22">
        <v>3512</v>
      </c>
      <c r="AC4" s="19">
        <v>3863</v>
      </c>
      <c r="AD4" s="22">
        <v>0</v>
      </c>
      <c r="AE4" s="19">
        <v>0</v>
      </c>
      <c r="AF4" s="16">
        <v>0</v>
      </c>
      <c r="AG4" s="19">
        <v>0</v>
      </c>
      <c r="AH4" s="23">
        <f>SUM(C4:AG4)</f>
        <v>56032</v>
      </c>
    </row>
    <row r="5" spans="1:34" x14ac:dyDescent="0.35">
      <c r="A5" s="7" t="s">
        <v>9</v>
      </c>
      <c r="B5" s="8" t="s">
        <v>10</v>
      </c>
      <c r="C5" s="19">
        <v>1636</v>
      </c>
      <c r="D5" s="19">
        <v>0</v>
      </c>
      <c r="E5" s="19">
        <v>1638</v>
      </c>
      <c r="F5" s="19">
        <v>741</v>
      </c>
      <c r="G5" s="19">
        <v>509</v>
      </c>
      <c r="H5" s="61">
        <v>952</v>
      </c>
      <c r="I5" s="114">
        <v>1111</v>
      </c>
      <c r="J5" s="19">
        <v>698</v>
      </c>
      <c r="K5" s="19">
        <v>1253</v>
      </c>
      <c r="L5" s="19">
        <v>580</v>
      </c>
      <c r="M5" s="19">
        <v>1016</v>
      </c>
      <c r="N5" s="19">
        <v>1630</v>
      </c>
      <c r="O5" s="19">
        <v>1661</v>
      </c>
      <c r="P5" s="19">
        <v>1640</v>
      </c>
      <c r="Q5" s="19">
        <v>1544</v>
      </c>
      <c r="R5" s="19">
        <v>648</v>
      </c>
      <c r="S5" s="19">
        <v>449</v>
      </c>
      <c r="T5" s="20">
        <v>221</v>
      </c>
      <c r="U5" s="19">
        <v>0</v>
      </c>
      <c r="V5" s="16">
        <v>0</v>
      </c>
      <c r="W5" s="21">
        <v>0</v>
      </c>
      <c r="X5" s="22">
        <v>0</v>
      </c>
      <c r="Y5" s="19">
        <v>0</v>
      </c>
      <c r="Z5" s="19">
        <v>0</v>
      </c>
      <c r="AA5" s="19">
        <v>0</v>
      </c>
      <c r="AB5" s="22">
        <v>0</v>
      </c>
      <c r="AC5" s="19">
        <v>0</v>
      </c>
      <c r="AD5" s="22">
        <v>0</v>
      </c>
      <c r="AE5" s="19">
        <v>880</v>
      </c>
      <c r="AF5" s="16">
        <v>917</v>
      </c>
      <c r="AG5" s="19">
        <v>1180</v>
      </c>
      <c r="AH5" s="23">
        <f>SUM(C5:AG5)</f>
        <v>20904</v>
      </c>
    </row>
    <row r="6" spans="1:34" x14ac:dyDescent="0.35">
      <c r="A6" s="24" t="s">
        <v>11</v>
      </c>
      <c r="B6" s="8" t="s">
        <v>12</v>
      </c>
      <c r="C6" s="19">
        <v>9782</v>
      </c>
      <c r="D6" s="19">
        <v>7488</v>
      </c>
      <c r="E6" s="19">
        <v>6390</v>
      </c>
      <c r="F6" s="19">
        <v>7090</v>
      </c>
      <c r="G6" s="19">
        <v>1338</v>
      </c>
      <c r="H6" s="61">
        <v>8602</v>
      </c>
      <c r="I6" s="114">
        <v>11430</v>
      </c>
      <c r="J6" s="19">
        <v>9322</v>
      </c>
      <c r="K6" s="19">
        <v>5038</v>
      </c>
      <c r="L6" s="19">
        <v>12369</v>
      </c>
      <c r="M6" s="19">
        <v>11541</v>
      </c>
      <c r="N6" s="19">
        <v>12593</v>
      </c>
      <c r="O6" s="19">
        <v>6098</v>
      </c>
      <c r="P6" s="19">
        <v>0</v>
      </c>
      <c r="Q6" s="19">
        <v>0</v>
      </c>
      <c r="R6" s="19">
        <v>0</v>
      </c>
      <c r="S6" s="19">
        <v>0</v>
      </c>
      <c r="T6" s="20">
        <v>0</v>
      </c>
      <c r="U6" s="19">
        <v>0</v>
      </c>
      <c r="V6" s="16">
        <v>0</v>
      </c>
      <c r="W6" s="21">
        <v>0</v>
      </c>
      <c r="X6" s="22">
        <v>0</v>
      </c>
      <c r="Y6" s="19">
        <v>239</v>
      </c>
      <c r="Z6" s="19">
        <v>1211</v>
      </c>
      <c r="AA6" s="19">
        <v>933</v>
      </c>
      <c r="AB6" s="22">
        <v>737</v>
      </c>
      <c r="AC6" s="19">
        <v>1156</v>
      </c>
      <c r="AD6" s="22">
        <v>6380</v>
      </c>
      <c r="AE6" s="19">
        <v>8800</v>
      </c>
      <c r="AF6" s="16">
        <v>9120</v>
      </c>
      <c r="AG6" s="19">
        <v>8875</v>
      </c>
      <c r="AH6" s="23">
        <f>SUM(C6:AG6)</f>
        <v>146532</v>
      </c>
    </row>
    <row r="7" spans="1:34" x14ac:dyDescent="0.35">
      <c r="A7" s="25"/>
      <c r="B7" s="8" t="s">
        <v>13</v>
      </c>
      <c r="C7" s="19">
        <v>9782</v>
      </c>
      <c r="D7" s="19">
        <v>7488</v>
      </c>
      <c r="E7" s="19">
        <v>6390</v>
      </c>
      <c r="F7" s="19">
        <v>7090</v>
      </c>
      <c r="G7" s="19">
        <v>1338</v>
      </c>
      <c r="H7" s="61">
        <v>8602</v>
      </c>
      <c r="I7" s="19">
        <v>11430</v>
      </c>
      <c r="J7" s="19">
        <v>9322</v>
      </c>
      <c r="K7" s="19">
        <v>3996</v>
      </c>
      <c r="L7" s="19">
        <v>12369</v>
      </c>
      <c r="M7" s="19">
        <v>11541</v>
      </c>
      <c r="N7" s="19">
        <v>12593</v>
      </c>
      <c r="O7" s="19">
        <v>6098</v>
      </c>
      <c r="P7" s="19">
        <v>0</v>
      </c>
      <c r="Q7" s="19">
        <v>0</v>
      </c>
      <c r="R7" s="19">
        <v>0</v>
      </c>
      <c r="S7" s="19">
        <v>0</v>
      </c>
      <c r="T7" s="20">
        <v>0</v>
      </c>
      <c r="U7" s="19">
        <v>0</v>
      </c>
      <c r="V7" s="16">
        <v>0</v>
      </c>
      <c r="W7" s="21">
        <v>0</v>
      </c>
      <c r="X7" s="22">
        <v>0</v>
      </c>
      <c r="Y7" s="19">
        <v>0</v>
      </c>
      <c r="Z7" s="19">
        <v>0</v>
      </c>
      <c r="AA7" s="19">
        <v>933</v>
      </c>
      <c r="AB7" s="22">
        <v>737</v>
      </c>
      <c r="AC7" s="19">
        <v>1156</v>
      </c>
      <c r="AD7" s="22">
        <v>6380</v>
      </c>
      <c r="AE7" s="19">
        <v>8800</v>
      </c>
      <c r="AF7" s="16">
        <v>9120</v>
      </c>
      <c r="AG7" s="19">
        <v>8875</v>
      </c>
      <c r="AH7" s="23">
        <f>SUM(C7:AG7)</f>
        <v>144040</v>
      </c>
    </row>
    <row r="8" spans="1:34" x14ac:dyDescent="0.35">
      <c r="A8" s="25"/>
      <c r="B8" s="8" t="s">
        <v>14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11">
        <v>0</v>
      </c>
      <c r="I8" s="19">
        <v>0</v>
      </c>
      <c r="J8" s="19">
        <v>0</v>
      </c>
      <c r="K8" s="19">
        <v>5326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20">
        <v>0</v>
      </c>
      <c r="U8" s="19">
        <v>0</v>
      </c>
      <c r="V8" s="16">
        <v>0</v>
      </c>
      <c r="W8" s="21">
        <v>0</v>
      </c>
      <c r="X8" s="22">
        <v>0</v>
      </c>
      <c r="Y8" s="19">
        <v>0</v>
      </c>
      <c r="Z8" s="19">
        <v>0</v>
      </c>
      <c r="AA8" s="19">
        <v>0</v>
      </c>
      <c r="AB8" s="22">
        <v>0</v>
      </c>
      <c r="AC8" s="19">
        <v>0</v>
      </c>
      <c r="AD8" s="22">
        <v>0</v>
      </c>
      <c r="AE8" s="19">
        <v>0</v>
      </c>
      <c r="AF8" s="16">
        <v>0</v>
      </c>
      <c r="AG8" s="19">
        <v>0</v>
      </c>
      <c r="AH8" s="23">
        <f>SUM(C8:AG8)</f>
        <v>5326</v>
      </c>
    </row>
    <row r="9" spans="1:34" x14ac:dyDescent="0.35">
      <c r="A9" s="25"/>
      <c r="B9" s="8" t="s">
        <v>15</v>
      </c>
      <c r="C9" s="19">
        <v>524.22293676312972</v>
      </c>
      <c r="D9" s="19">
        <v>457.14285714285717</v>
      </c>
      <c r="E9" s="26">
        <v>491.53846153846155</v>
      </c>
      <c r="F9" s="19">
        <v>443.125</v>
      </c>
      <c r="G9" s="19">
        <v>446</v>
      </c>
      <c r="H9" s="61">
        <v>430.1</v>
      </c>
      <c r="I9" s="19">
        <v>527.21402214022146</v>
      </c>
      <c r="J9" s="19">
        <v>456.73689367956882</v>
      </c>
      <c r="K9" s="19">
        <v>397.94628751974722</v>
      </c>
      <c r="L9" s="19">
        <v>547.78565101860056</v>
      </c>
      <c r="M9" s="19">
        <v>530.62068965517244</v>
      </c>
      <c r="N9" s="19">
        <v>555.73698146513675</v>
      </c>
      <c r="O9" s="19">
        <v>518.97872340425533</v>
      </c>
      <c r="P9" s="19">
        <v>0</v>
      </c>
      <c r="Q9" s="26">
        <v>0</v>
      </c>
      <c r="R9" s="19">
        <v>0</v>
      </c>
      <c r="S9" s="19">
        <v>0</v>
      </c>
      <c r="T9" s="27">
        <v>0</v>
      </c>
      <c r="U9" s="19" t="e">
        <v>#DIV/0!</v>
      </c>
      <c r="V9" s="28" t="e">
        <v>#DIV/0!</v>
      </c>
      <c r="W9" s="21" t="e">
        <v>#DIV/0!</v>
      </c>
      <c r="X9" s="22" t="e">
        <v>#DIV/0!</v>
      </c>
      <c r="Y9" s="19">
        <v>119.5</v>
      </c>
      <c r="Z9" s="19">
        <v>173</v>
      </c>
      <c r="AA9" s="19">
        <v>169.63636363636363</v>
      </c>
      <c r="AB9" s="22">
        <v>184.25</v>
      </c>
      <c r="AC9" s="19">
        <v>177.84615384615384</v>
      </c>
      <c r="AD9" s="22">
        <v>353.26688815060913</v>
      </c>
      <c r="AE9" s="19">
        <v>394.08866995073896</v>
      </c>
      <c r="AF9" s="16">
        <v>399.47437582128782</v>
      </c>
      <c r="AG9" s="19">
        <v>391.31393298059965</v>
      </c>
      <c r="AH9" s="23">
        <f>AH6/AH15</f>
        <v>473.06537530266343</v>
      </c>
    </row>
    <row r="10" spans="1:34" x14ac:dyDescent="0.35">
      <c r="A10" s="25"/>
      <c r="B10" s="8" t="s">
        <v>16</v>
      </c>
      <c r="C10" s="19">
        <v>1320</v>
      </c>
      <c r="D10" s="10">
        <v>1697</v>
      </c>
      <c r="E10" s="29">
        <v>3250</v>
      </c>
      <c r="F10" s="19">
        <v>2460</v>
      </c>
      <c r="G10" s="19">
        <v>2230</v>
      </c>
      <c r="H10" s="112">
        <v>0</v>
      </c>
      <c r="I10" s="2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886</v>
      </c>
      <c r="O10" s="19">
        <v>8105</v>
      </c>
      <c r="P10" s="19">
        <v>2445</v>
      </c>
      <c r="Q10" s="29">
        <v>2843</v>
      </c>
      <c r="R10" s="19">
        <v>5168</v>
      </c>
      <c r="S10" s="19">
        <v>1669</v>
      </c>
      <c r="T10" s="30">
        <v>4562</v>
      </c>
      <c r="U10" s="19">
        <v>2110</v>
      </c>
      <c r="V10" s="31">
        <v>5153</v>
      </c>
      <c r="W10" s="21">
        <v>3223</v>
      </c>
      <c r="X10" s="22">
        <v>1884</v>
      </c>
      <c r="Y10" s="19">
        <v>3123</v>
      </c>
      <c r="Z10" s="19">
        <v>6548</v>
      </c>
      <c r="AA10" s="19">
        <v>4053</v>
      </c>
      <c r="AB10" s="22">
        <v>1276</v>
      </c>
      <c r="AC10" s="19">
        <v>4188</v>
      </c>
      <c r="AD10" s="22">
        <v>3239</v>
      </c>
      <c r="AE10" s="19">
        <v>0</v>
      </c>
      <c r="AF10" s="16">
        <v>0</v>
      </c>
      <c r="AG10" s="19">
        <v>0</v>
      </c>
      <c r="AH10" s="23">
        <f>SUM(C10:AG10)</f>
        <v>71432</v>
      </c>
    </row>
    <row r="11" spans="1:34" x14ac:dyDescent="0.35">
      <c r="A11" s="25"/>
      <c r="B11" s="8" t="s">
        <v>17</v>
      </c>
      <c r="C11" s="19">
        <v>1320</v>
      </c>
      <c r="D11" s="9">
        <v>1697</v>
      </c>
      <c r="E11" s="29">
        <v>3250</v>
      </c>
      <c r="F11" s="19">
        <v>2460</v>
      </c>
      <c r="G11" s="19">
        <v>2230</v>
      </c>
      <c r="H11" s="112">
        <v>0</v>
      </c>
      <c r="I11" s="114">
        <v>0</v>
      </c>
      <c r="J11" s="19">
        <v>0</v>
      </c>
      <c r="K11" s="19">
        <v>0</v>
      </c>
      <c r="L11" s="19">
        <v>0</v>
      </c>
      <c r="M11" s="19">
        <v>0</v>
      </c>
      <c r="N11" s="19">
        <v>886</v>
      </c>
      <c r="O11" s="19">
        <v>8105</v>
      </c>
      <c r="P11" s="19">
        <v>2445</v>
      </c>
      <c r="Q11" s="29">
        <v>2843</v>
      </c>
      <c r="R11" s="19">
        <v>5168</v>
      </c>
      <c r="S11" s="19">
        <v>1669</v>
      </c>
      <c r="T11" s="30">
        <v>4562</v>
      </c>
      <c r="U11" s="19">
        <v>2110</v>
      </c>
      <c r="V11" s="31">
        <v>5153</v>
      </c>
      <c r="W11" s="21">
        <v>3223</v>
      </c>
      <c r="X11" s="22">
        <v>1884</v>
      </c>
      <c r="Y11" s="19">
        <v>3123</v>
      </c>
      <c r="Z11" s="19">
        <v>6548</v>
      </c>
      <c r="AA11" s="19">
        <v>4053</v>
      </c>
      <c r="AB11" s="22">
        <v>1276</v>
      </c>
      <c r="AC11" s="19">
        <v>4188</v>
      </c>
      <c r="AD11" s="22">
        <v>3239</v>
      </c>
      <c r="AE11" s="19">
        <v>0</v>
      </c>
      <c r="AF11" s="16">
        <v>0</v>
      </c>
      <c r="AG11" s="19">
        <v>0</v>
      </c>
      <c r="AH11" s="23">
        <f>SUM(C11:AG11)</f>
        <v>71432</v>
      </c>
    </row>
    <row r="12" spans="1:34" x14ac:dyDescent="0.35">
      <c r="A12" s="25"/>
      <c r="B12" s="8" t="s">
        <v>18</v>
      </c>
      <c r="C12" s="32">
        <v>0.39676879137998183</v>
      </c>
      <c r="D12" s="32">
        <v>0.27421805349182765</v>
      </c>
      <c r="E12" s="32">
        <v>0.46185886965044104</v>
      </c>
      <c r="F12" s="32">
        <v>0.29882714325607368</v>
      </c>
      <c r="G12" s="32">
        <v>0.43017738359201774</v>
      </c>
      <c r="H12" s="113">
        <v>0</v>
      </c>
      <c r="I12" s="114">
        <v>0</v>
      </c>
      <c r="J12" s="32">
        <v>0</v>
      </c>
      <c r="K12" s="32">
        <v>0.55379705987809247</v>
      </c>
      <c r="L12" s="32">
        <v>0</v>
      </c>
      <c r="M12" s="32">
        <v>0</v>
      </c>
      <c r="N12" s="32">
        <v>0.25473584485064643</v>
      </c>
      <c r="O12" s="32">
        <v>1.3877657163306691</v>
      </c>
      <c r="P12" s="32">
        <v>1.2513132911392406</v>
      </c>
      <c r="Q12" s="33">
        <v>0.86216216216216224</v>
      </c>
      <c r="R12" s="32">
        <v>1.3171385083713851</v>
      </c>
      <c r="S12" s="32">
        <v>1.268306318226927</v>
      </c>
      <c r="T12" s="34">
        <v>1.3240492890995259</v>
      </c>
      <c r="U12" s="32">
        <v>0.90941356309060595</v>
      </c>
      <c r="V12" s="35">
        <v>1.317450294953026</v>
      </c>
      <c r="W12" s="36">
        <v>1.4304989154013017</v>
      </c>
      <c r="X12" s="37">
        <v>1.1120485327313769</v>
      </c>
      <c r="Y12" s="32">
        <v>1.2254676258992805</v>
      </c>
      <c r="Z12" s="32">
        <v>1.197618586640852</v>
      </c>
      <c r="AA12" s="32">
        <v>1.0613460597161037</v>
      </c>
      <c r="AB12" s="37">
        <v>1.0870459290187893</v>
      </c>
      <c r="AC12" s="32">
        <v>1.1061860391661402</v>
      </c>
      <c r="AD12" s="37">
        <v>0.39868845500848893</v>
      </c>
      <c r="AE12" s="32">
        <v>0</v>
      </c>
      <c r="AF12" s="16">
        <v>0</v>
      </c>
      <c r="AG12" s="32">
        <v>0</v>
      </c>
      <c r="AH12" s="38">
        <f>(AH4+AH11)*0.87/AH31</f>
        <v>0.58939600739843101</v>
      </c>
    </row>
    <row r="13" spans="1:34" x14ac:dyDescent="0.35">
      <c r="A13" s="25"/>
      <c r="B13" s="8" t="s">
        <v>19</v>
      </c>
      <c r="C13" s="19">
        <v>0</v>
      </c>
      <c r="D13" s="19">
        <v>0</v>
      </c>
      <c r="E13" s="29">
        <v>0</v>
      </c>
      <c r="F13" s="19">
        <v>0</v>
      </c>
      <c r="G13" s="19">
        <v>0</v>
      </c>
      <c r="H13" s="2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29">
        <v>0</v>
      </c>
      <c r="R13" s="19">
        <v>0</v>
      </c>
      <c r="S13" s="19">
        <v>0</v>
      </c>
      <c r="T13" s="30">
        <v>0</v>
      </c>
      <c r="U13" s="19">
        <v>0</v>
      </c>
      <c r="V13" s="31">
        <v>0</v>
      </c>
      <c r="W13" s="21">
        <v>0</v>
      </c>
      <c r="X13" s="22">
        <v>0</v>
      </c>
      <c r="Y13" s="19">
        <v>0</v>
      </c>
      <c r="Z13" s="19">
        <v>0</v>
      </c>
      <c r="AA13" s="19">
        <v>0</v>
      </c>
      <c r="AB13" s="22">
        <v>0</v>
      </c>
      <c r="AC13" s="19">
        <v>0</v>
      </c>
      <c r="AD13" s="22">
        <v>0</v>
      </c>
      <c r="AE13" s="19">
        <v>0</v>
      </c>
      <c r="AF13" s="16">
        <v>0</v>
      </c>
      <c r="AG13" s="19">
        <v>0</v>
      </c>
      <c r="AH13" s="23">
        <f>SUM(C13:AG13)</f>
        <v>0</v>
      </c>
    </row>
    <row r="14" spans="1:34" x14ac:dyDescent="0.35">
      <c r="A14" s="25"/>
      <c r="B14" s="8" t="s">
        <v>20</v>
      </c>
      <c r="C14" s="32">
        <v>0</v>
      </c>
      <c r="D14" s="32">
        <v>0</v>
      </c>
      <c r="E14" s="33">
        <v>0</v>
      </c>
      <c r="F14" s="32">
        <v>0</v>
      </c>
      <c r="G14" s="32">
        <v>0</v>
      </c>
      <c r="H14" s="32">
        <v>0</v>
      </c>
      <c r="I14" s="9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3">
        <v>0</v>
      </c>
      <c r="R14" s="32">
        <v>0</v>
      </c>
      <c r="S14" s="32">
        <v>0</v>
      </c>
      <c r="T14" s="39">
        <v>0</v>
      </c>
      <c r="U14" s="32">
        <v>0</v>
      </c>
      <c r="V14" s="35">
        <v>0</v>
      </c>
      <c r="W14" s="36">
        <v>0</v>
      </c>
      <c r="X14" s="37">
        <v>0</v>
      </c>
      <c r="Y14" s="32">
        <v>0</v>
      </c>
      <c r="Z14" s="32">
        <v>0</v>
      </c>
      <c r="AA14" s="32">
        <v>0</v>
      </c>
      <c r="AB14" s="37">
        <v>0</v>
      </c>
      <c r="AC14" s="32">
        <v>0</v>
      </c>
      <c r="AD14" s="37">
        <v>0</v>
      </c>
      <c r="AE14" s="32">
        <v>0</v>
      </c>
      <c r="AF14" s="16">
        <v>0</v>
      </c>
      <c r="AG14" s="32">
        <v>0</v>
      </c>
      <c r="AH14" s="38">
        <f>+AH13*0.62/AH33</f>
        <v>0</v>
      </c>
    </row>
    <row r="15" spans="1:34" x14ac:dyDescent="0.35">
      <c r="A15" s="40"/>
      <c r="B15" s="8" t="s">
        <v>21</v>
      </c>
      <c r="C15" s="41">
        <v>18.66</v>
      </c>
      <c r="D15" s="41">
        <v>16.38</v>
      </c>
      <c r="E15" s="41">
        <v>13</v>
      </c>
      <c r="F15" s="41">
        <v>16</v>
      </c>
      <c r="G15" s="42">
        <v>3</v>
      </c>
      <c r="H15" s="41">
        <v>20</v>
      </c>
      <c r="I15" s="32" t="s">
        <v>75</v>
      </c>
      <c r="J15" s="42">
        <v>20.41</v>
      </c>
      <c r="K15" s="42">
        <v>12.66</v>
      </c>
      <c r="L15" s="42">
        <v>22.58</v>
      </c>
      <c r="M15" s="42">
        <v>21.75</v>
      </c>
      <c r="N15" s="42">
        <v>22.66</v>
      </c>
      <c r="O15" s="42">
        <v>11.75</v>
      </c>
      <c r="P15" s="42">
        <v>0</v>
      </c>
      <c r="Q15" s="41">
        <v>0</v>
      </c>
      <c r="R15" s="42">
        <v>0</v>
      </c>
      <c r="S15" s="42">
        <v>0</v>
      </c>
      <c r="T15" s="43">
        <v>0</v>
      </c>
      <c r="U15" s="42">
        <v>0</v>
      </c>
      <c r="V15" s="44">
        <v>0</v>
      </c>
      <c r="W15" s="45">
        <v>0</v>
      </c>
      <c r="X15" s="46">
        <v>0</v>
      </c>
      <c r="Y15" s="42">
        <v>2</v>
      </c>
      <c r="Z15" s="42">
        <v>7</v>
      </c>
      <c r="AA15" s="41">
        <v>5.5</v>
      </c>
      <c r="AB15" s="46">
        <v>4</v>
      </c>
      <c r="AC15" s="41">
        <v>6.5</v>
      </c>
      <c r="AD15" s="47">
        <v>18.059999999999999</v>
      </c>
      <c r="AE15" s="41">
        <v>22.33</v>
      </c>
      <c r="AF15" s="48">
        <v>22.83</v>
      </c>
      <c r="AG15" s="19">
        <v>22.68</v>
      </c>
      <c r="AH15" s="23">
        <f>SUM(C15:AG15)</f>
        <v>309.75</v>
      </c>
    </row>
    <row r="16" spans="1:34" x14ac:dyDescent="0.35">
      <c r="A16" s="49" t="s">
        <v>22</v>
      </c>
      <c r="B16" s="8" t="s">
        <v>23</v>
      </c>
      <c r="C16" s="19">
        <v>3277</v>
      </c>
      <c r="D16" s="19">
        <v>2520</v>
      </c>
      <c r="E16" s="19">
        <v>1908</v>
      </c>
      <c r="F16" s="19">
        <v>1049</v>
      </c>
      <c r="G16" s="19">
        <v>95</v>
      </c>
      <c r="H16" s="19">
        <v>1094</v>
      </c>
      <c r="I16" s="41">
        <v>1457</v>
      </c>
      <c r="J16" s="19">
        <v>698</v>
      </c>
      <c r="K16" s="19">
        <v>54</v>
      </c>
      <c r="L16" s="19">
        <v>1543</v>
      </c>
      <c r="M16" s="19">
        <v>3059</v>
      </c>
      <c r="N16" s="19">
        <v>5245</v>
      </c>
      <c r="O16" s="19">
        <v>3155</v>
      </c>
      <c r="P16" s="19">
        <v>0</v>
      </c>
      <c r="Q16" s="19">
        <v>0</v>
      </c>
      <c r="R16" s="19">
        <v>0</v>
      </c>
      <c r="S16" s="19">
        <v>0</v>
      </c>
      <c r="T16" s="20">
        <v>0</v>
      </c>
      <c r="U16" s="19">
        <v>0</v>
      </c>
      <c r="V16" s="16">
        <v>0</v>
      </c>
      <c r="W16" s="21">
        <v>0</v>
      </c>
      <c r="X16" s="22">
        <v>0</v>
      </c>
      <c r="Y16" s="19">
        <v>0</v>
      </c>
      <c r="Z16" s="19">
        <v>0</v>
      </c>
      <c r="AA16" s="19">
        <v>0</v>
      </c>
      <c r="AB16" s="22">
        <v>0</v>
      </c>
      <c r="AC16" s="19">
        <v>0</v>
      </c>
      <c r="AD16" s="22">
        <v>1130</v>
      </c>
      <c r="AE16" s="19">
        <v>1700</v>
      </c>
      <c r="AF16" s="16">
        <v>3010</v>
      </c>
      <c r="AG16" s="19">
        <v>2645</v>
      </c>
      <c r="AH16" s="23">
        <f>SUM(C16:AG16)</f>
        <v>33639</v>
      </c>
    </row>
    <row r="17" spans="1:34" x14ac:dyDescent="0.35">
      <c r="A17" s="49"/>
      <c r="B17" s="8" t="s">
        <v>24</v>
      </c>
      <c r="C17" s="19">
        <v>3277</v>
      </c>
      <c r="D17" s="19">
        <v>2520</v>
      </c>
      <c r="E17" s="19">
        <v>1908</v>
      </c>
      <c r="F17" s="19">
        <v>1049</v>
      </c>
      <c r="G17" s="19">
        <v>95</v>
      </c>
      <c r="H17" s="19">
        <v>1094</v>
      </c>
      <c r="I17" s="19">
        <v>1457</v>
      </c>
      <c r="J17" s="19">
        <v>698</v>
      </c>
      <c r="K17" s="19">
        <v>54</v>
      </c>
      <c r="L17" s="19">
        <v>1543</v>
      </c>
      <c r="M17" s="19">
        <v>3059</v>
      </c>
      <c r="N17" s="19">
        <v>5245</v>
      </c>
      <c r="O17" s="19">
        <v>3155</v>
      </c>
      <c r="P17" s="19">
        <v>0</v>
      </c>
      <c r="Q17" s="19">
        <v>0</v>
      </c>
      <c r="R17" s="19">
        <v>0</v>
      </c>
      <c r="S17" s="19">
        <v>0</v>
      </c>
      <c r="T17" s="20">
        <v>0</v>
      </c>
      <c r="U17" s="19">
        <v>0</v>
      </c>
      <c r="V17" s="16">
        <v>0</v>
      </c>
      <c r="W17" s="21">
        <v>0</v>
      </c>
      <c r="X17" s="22">
        <v>0</v>
      </c>
      <c r="Y17" s="19">
        <v>0</v>
      </c>
      <c r="Z17" s="19">
        <v>0</v>
      </c>
      <c r="AA17" s="19">
        <v>0</v>
      </c>
      <c r="AB17" s="22">
        <v>0</v>
      </c>
      <c r="AC17" s="19">
        <v>0</v>
      </c>
      <c r="AD17" s="22">
        <v>1130</v>
      </c>
      <c r="AE17" s="19">
        <v>1700</v>
      </c>
      <c r="AF17" s="16">
        <v>3010</v>
      </c>
      <c r="AG17" s="19">
        <v>2645</v>
      </c>
      <c r="AH17" s="23">
        <f>SUM(C17:AG17)</f>
        <v>33639</v>
      </c>
    </row>
    <row r="18" spans="1:34" x14ac:dyDescent="0.35">
      <c r="A18" s="49"/>
      <c r="B18" s="8" t="s">
        <v>25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20">
        <v>0</v>
      </c>
      <c r="U18" s="19">
        <v>0</v>
      </c>
      <c r="V18" s="16">
        <v>0</v>
      </c>
      <c r="W18" s="21">
        <v>0</v>
      </c>
      <c r="X18" s="22">
        <v>0</v>
      </c>
      <c r="Y18" s="19">
        <v>0</v>
      </c>
      <c r="Z18" s="19">
        <v>0</v>
      </c>
      <c r="AA18" s="19">
        <v>0</v>
      </c>
      <c r="AB18" s="22">
        <v>0</v>
      </c>
      <c r="AC18" s="19">
        <v>0</v>
      </c>
      <c r="AD18" s="22">
        <v>0</v>
      </c>
      <c r="AE18" s="19">
        <v>0</v>
      </c>
      <c r="AF18" s="16">
        <v>0</v>
      </c>
      <c r="AG18" s="19">
        <v>0</v>
      </c>
      <c r="AH18" s="23">
        <f>SUM(C18:AG18)</f>
        <v>0</v>
      </c>
    </row>
    <row r="19" spans="1:34" x14ac:dyDescent="0.35">
      <c r="A19" s="49"/>
      <c r="B19" s="8" t="s">
        <v>21</v>
      </c>
      <c r="C19" s="41">
        <v>15.58</v>
      </c>
      <c r="D19" s="41">
        <v>13.33</v>
      </c>
      <c r="E19" s="41">
        <v>8.83</v>
      </c>
      <c r="F19" s="50">
        <v>7</v>
      </c>
      <c r="G19" s="41">
        <v>1</v>
      </c>
      <c r="H19" s="41">
        <v>11.83</v>
      </c>
      <c r="I19" s="41">
        <v>12.35</v>
      </c>
      <c r="J19" s="41">
        <v>9.33</v>
      </c>
      <c r="K19" s="41">
        <v>1.25</v>
      </c>
      <c r="L19" s="41">
        <v>13.66</v>
      </c>
      <c r="M19" s="41">
        <v>18.920000000000002</v>
      </c>
      <c r="N19" s="41">
        <v>21.58</v>
      </c>
      <c r="O19" s="41">
        <v>14.92</v>
      </c>
      <c r="P19" s="41">
        <v>0</v>
      </c>
      <c r="Q19" s="41">
        <v>0</v>
      </c>
      <c r="R19" s="41">
        <v>0</v>
      </c>
      <c r="S19" s="41">
        <v>0</v>
      </c>
      <c r="T19" s="43">
        <v>0</v>
      </c>
      <c r="U19" s="41">
        <v>0</v>
      </c>
      <c r="V19" s="44">
        <v>0</v>
      </c>
      <c r="W19" s="51">
        <v>0</v>
      </c>
      <c r="X19" s="47">
        <v>0</v>
      </c>
      <c r="Y19" s="41">
        <v>0</v>
      </c>
      <c r="Z19" s="41">
        <v>0</v>
      </c>
      <c r="AA19" s="41">
        <v>0</v>
      </c>
      <c r="AB19" s="47">
        <v>0</v>
      </c>
      <c r="AC19" s="41">
        <v>0</v>
      </c>
      <c r="AD19" s="47">
        <v>10.66</v>
      </c>
      <c r="AE19" s="41">
        <v>20</v>
      </c>
      <c r="AF19" s="16">
        <v>23</v>
      </c>
      <c r="AG19" s="41">
        <v>22.67</v>
      </c>
      <c r="AH19" s="23" t="e">
        <f>AH16/AH20</f>
        <v>#DIV/0!</v>
      </c>
    </row>
    <row r="20" spans="1:34" x14ac:dyDescent="0.35">
      <c r="A20" s="49"/>
      <c r="B20" s="8" t="s">
        <v>26</v>
      </c>
      <c r="C20" s="19">
        <v>210.33376123234916</v>
      </c>
      <c r="D20" s="19">
        <v>189.04726181545385</v>
      </c>
      <c r="E20" s="26">
        <v>216.08154020385049</v>
      </c>
      <c r="F20" s="19">
        <v>149.85714285714286</v>
      </c>
      <c r="G20" s="19">
        <v>95</v>
      </c>
      <c r="H20" s="19">
        <v>92.476754015215548</v>
      </c>
      <c r="I20" s="19">
        <v>117.97570850202429</v>
      </c>
      <c r="J20" s="19">
        <v>74.812433011789921</v>
      </c>
      <c r="K20" s="19">
        <v>43.2</v>
      </c>
      <c r="L20" s="19">
        <v>112.95754026354319</v>
      </c>
      <c r="M20" s="19">
        <v>161.68076109936572</v>
      </c>
      <c r="N20" s="19">
        <v>243.04911955514368</v>
      </c>
      <c r="O20" s="19">
        <v>211.46112600536193</v>
      </c>
      <c r="P20" s="19">
        <v>0</v>
      </c>
      <c r="Q20" s="26">
        <v>0</v>
      </c>
      <c r="R20" s="19">
        <v>0</v>
      </c>
      <c r="S20" s="19">
        <v>0</v>
      </c>
      <c r="T20" s="27">
        <v>0</v>
      </c>
      <c r="U20" s="28" t="e">
        <v>#DIV/0!</v>
      </c>
      <c r="V20" s="28" t="e">
        <v>#DIV/0!</v>
      </c>
      <c r="W20" s="52" t="e">
        <v>#DIV/0!</v>
      </c>
      <c r="X20" s="53" t="e">
        <v>#DIV/0!</v>
      </c>
      <c r="Y20" s="28" t="e">
        <v>#DIV/0!</v>
      </c>
      <c r="Z20" s="28" t="e">
        <v>#DIV/0!</v>
      </c>
      <c r="AA20" s="28" t="e">
        <v>#DIV/0!</v>
      </c>
      <c r="AB20" s="53" t="e">
        <v>#DIV/0!</v>
      </c>
      <c r="AC20" s="28" t="e">
        <v>#DIV/0!</v>
      </c>
      <c r="AD20" s="53">
        <v>106.00375234521576</v>
      </c>
      <c r="AE20" s="28">
        <v>85</v>
      </c>
      <c r="AF20" s="16">
        <v>130.86956521739131</v>
      </c>
      <c r="AG20" s="19">
        <v>116.67401852668725</v>
      </c>
      <c r="AH20" s="54" t="e">
        <f>AVERAGE(C20:AG20)</f>
        <v>#DIV/0!</v>
      </c>
    </row>
    <row r="21" spans="1:34" x14ac:dyDescent="0.35">
      <c r="A21" s="55"/>
      <c r="B21" s="8" t="s">
        <v>27</v>
      </c>
      <c r="C21" s="19">
        <v>0</v>
      </c>
      <c r="D21" s="19">
        <v>0</v>
      </c>
      <c r="E21" s="19">
        <v>0</v>
      </c>
      <c r="F21" s="19">
        <v>304</v>
      </c>
      <c r="G21" s="19">
        <v>354</v>
      </c>
      <c r="H21" s="19">
        <v>561</v>
      </c>
      <c r="I21" s="19">
        <v>2</v>
      </c>
      <c r="J21" s="19">
        <v>0</v>
      </c>
      <c r="K21" s="19">
        <v>2</v>
      </c>
      <c r="L21" s="19">
        <v>8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20">
        <v>0</v>
      </c>
      <c r="U21" s="28">
        <v>0</v>
      </c>
      <c r="V21" s="28">
        <v>0</v>
      </c>
      <c r="W21" s="52">
        <v>0</v>
      </c>
      <c r="X21" s="53">
        <v>0</v>
      </c>
      <c r="Y21" s="28">
        <v>0</v>
      </c>
      <c r="Z21" s="28">
        <v>0</v>
      </c>
      <c r="AA21" s="28">
        <v>0</v>
      </c>
      <c r="AB21" s="53">
        <v>0</v>
      </c>
      <c r="AC21" s="28">
        <v>0</v>
      </c>
      <c r="AD21" s="53">
        <v>0</v>
      </c>
      <c r="AE21" s="28">
        <v>0</v>
      </c>
      <c r="AF21" s="16">
        <v>553</v>
      </c>
      <c r="AG21" s="19">
        <v>1110</v>
      </c>
      <c r="AH21" s="54">
        <f>SUM(C21:AG21)</f>
        <v>2894</v>
      </c>
    </row>
    <row r="22" spans="1:34" ht="18.5" x14ac:dyDescent="0.45">
      <c r="A22" s="56" t="s">
        <v>28</v>
      </c>
      <c r="B22" s="8" t="s">
        <v>29</v>
      </c>
      <c r="C22" s="19">
        <v>44.611969111969117</v>
      </c>
      <c r="D22" s="19">
        <v>44.131147540983605</v>
      </c>
      <c r="E22" s="26">
        <v>39.581896551724135</v>
      </c>
      <c r="F22" s="19">
        <v>41.96484375</v>
      </c>
      <c r="G22" s="19">
        <v>39.794117647058819</v>
      </c>
      <c r="H22" s="19">
        <v>44.679104477611943</v>
      </c>
      <c r="I22" s="19">
        <v>51.764044943820217</v>
      </c>
      <c r="J22" s="19">
        <v>57.293181818181822</v>
      </c>
      <c r="K22" s="19">
        <v>55.046052631578945</v>
      </c>
      <c r="L22" s="19">
        <v>52.187050359712231</v>
      </c>
      <c r="M22" s="19">
        <v>44.487410071942442</v>
      </c>
      <c r="N22" s="19">
        <v>50.784905660377362</v>
      </c>
      <c r="O22" s="19">
        <v>50.5</v>
      </c>
      <c r="P22" s="19">
        <v>46.470588235294116</v>
      </c>
      <c r="Q22" s="26">
        <v>49.364321608040193</v>
      </c>
      <c r="R22" s="19">
        <v>43.692118226600982</v>
      </c>
      <c r="S22" s="19">
        <v>52.72674418604651</v>
      </c>
      <c r="T22" s="57">
        <v>53.50803043110735</v>
      </c>
      <c r="U22" s="19">
        <v>44.23770491803279</v>
      </c>
      <c r="V22" s="58">
        <v>44.29354838709677</v>
      </c>
      <c r="W22" s="21">
        <v>37.177419354838712</v>
      </c>
      <c r="X22" s="22">
        <v>36.662068965517243</v>
      </c>
      <c r="Y22" s="19">
        <v>47.988095238095241</v>
      </c>
      <c r="Z22" s="19">
        <v>53.739884393063576</v>
      </c>
      <c r="AA22" s="19">
        <v>51.075000000000003</v>
      </c>
      <c r="AB22" s="22">
        <v>48.302521008403353</v>
      </c>
      <c r="AC22" s="19">
        <v>44.383177570093451</v>
      </c>
      <c r="AD22" s="22">
        <v>48.857142857142854</v>
      </c>
      <c r="AE22" s="19">
        <v>49.589999999999996</v>
      </c>
      <c r="AF22" s="16">
        <v>51.53125</v>
      </c>
      <c r="AG22" s="19">
        <v>51.78358208955224</v>
      </c>
      <c r="AH22" s="23">
        <f>AH31/AH35/8</f>
        <v>47.521121424512209</v>
      </c>
    </row>
    <row r="23" spans="1:34" x14ac:dyDescent="0.35">
      <c r="A23" s="59"/>
      <c r="B23" s="8" t="s">
        <v>30</v>
      </c>
      <c r="C23" s="19">
        <v>42.528147389969298</v>
      </c>
      <c r="D23" s="19">
        <v>43.719723183391004</v>
      </c>
      <c r="E23" s="26">
        <v>39.588722193481637</v>
      </c>
      <c r="F23" s="19">
        <v>39.309827456864213</v>
      </c>
      <c r="G23" s="19">
        <v>39.784756527875793</v>
      </c>
      <c r="H23" s="19">
        <v>44.679104477611943</v>
      </c>
      <c r="I23" s="19">
        <v>50.286195286195287</v>
      </c>
      <c r="J23" s="19">
        <v>57.303600654664493</v>
      </c>
      <c r="K23" s="19">
        <v>51.539473684210527</v>
      </c>
      <c r="L23" s="19">
        <v>50.418410041841007</v>
      </c>
      <c r="M23" s="19">
        <v>43.794117647058826</v>
      </c>
      <c r="N23" s="19">
        <v>43.551236749116605</v>
      </c>
      <c r="O23" s="19">
        <v>49.782608695652172</v>
      </c>
      <c r="P23" s="19">
        <v>45.25</v>
      </c>
      <c r="Q23" s="19">
        <v>46.945164075993091</v>
      </c>
      <c r="R23" s="19">
        <v>43.683510638297868</v>
      </c>
      <c r="S23" s="19">
        <v>52.702231520223151</v>
      </c>
      <c r="T23" s="57">
        <v>53.520698051948052</v>
      </c>
      <c r="U23" s="19">
        <v>44.223205506391345</v>
      </c>
      <c r="V23" s="19">
        <v>44.282120743034056</v>
      </c>
      <c r="W23" s="19">
        <v>37.177419354838712</v>
      </c>
      <c r="X23" s="19">
        <v>36.672185430463578</v>
      </c>
      <c r="Y23" s="19">
        <v>45.333333333333336</v>
      </c>
      <c r="Z23" s="19">
        <v>50.743761996161226</v>
      </c>
      <c r="AA23" s="19">
        <v>49.154761904761905</v>
      </c>
      <c r="AB23" s="22">
        <v>44.557195571955717</v>
      </c>
      <c r="AC23" s="19">
        <v>42.5</v>
      </c>
      <c r="AD23" s="22">
        <v>46.388888888888886</v>
      </c>
      <c r="AE23" s="19">
        <v>47.716428084526243</v>
      </c>
      <c r="AF23" s="16">
        <v>49.65986394557823</v>
      </c>
      <c r="AG23" s="19">
        <v>48.782234957020059</v>
      </c>
      <c r="AH23" s="23">
        <f t="shared" ref="AH23" si="1">AH32/AH36/8</f>
        <v>45.624037593585726</v>
      </c>
    </row>
    <row r="24" spans="1:34" x14ac:dyDescent="0.35">
      <c r="A24" s="59"/>
      <c r="B24" s="8" t="s">
        <v>31</v>
      </c>
      <c r="C24" s="19">
        <v>51.014150943396231</v>
      </c>
      <c r="D24" s="60">
        <v>51.5625</v>
      </c>
      <c r="E24" s="26">
        <v>0</v>
      </c>
      <c r="F24" s="19">
        <v>46.40625</v>
      </c>
      <c r="G24" s="19">
        <v>0</v>
      </c>
      <c r="H24" s="19">
        <v>0</v>
      </c>
      <c r="I24" s="19">
        <v>54.729729729729726</v>
      </c>
      <c r="J24" s="19">
        <v>0</v>
      </c>
      <c r="K24" s="19">
        <v>59.071729957805907</v>
      </c>
      <c r="L24" s="19">
        <v>52.96875</v>
      </c>
      <c r="M24" s="19">
        <v>52.083333333333336</v>
      </c>
      <c r="N24" s="19">
        <v>53.288672350791714</v>
      </c>
      <c r="O24" s="19">
        <v>54.035714285714285</v>
      </c>
      <c r="P24" s="19">
        <v>48.214285714285715</v>
      </c>
      <c r="Q24" s="19">
        <v>0</v>
      </c>
      <c r="R24" s="19">
        <v>0</v>
      </c>
      <c r="S24" s="19">
        <v>0</v>
      </c>
      <c r="T24" s="57">
        <v>0</v>
      </c>
      <c r="U24" s="19" t="e">
        <v>#DIV/0!</v>
      </c>
      <c r="V24" s="61" t="e">
        <v>#DIV/0!</v>
      </c>
      <c r="W24" s="19" t="e">
        <v>#DIV/0!</v>
      </c>
      <c r="X24" s="19" t="e">
        <v>#DIV/0!</v>
      </c>
      <c r="Y24" s="19">
        <v>54.625</v>
      </c>
      <c r="Z24" s="19">
        <v>61.5</v>
      </c>
      <c r="AA24" s="19">
        <v>55.555555555555557</v>
      </c>
      <c r="AB24" s="22">
        <v>52.777777777777779</v>
      </c>
      <c r="AC24" s="19">
        <v>51.305483028720623</v>
      </c>
      <c r="AD24" s="22">
        <v>51.321585903083701</v>
      </c>
      <c r="AE24" s="19">
        <v>63.25</v>
      </c>
      <c r="AF24" s="16">
        <v>54.489247311827953</v>
      </c>
      <c r="AG24" s="19">
        <v>55.046728971962622</v>
      </c>
      <c r="AH24" s="23"/>
    </row>
    <row r="25" spans="1:34" ht="18.5" x14ac:dyDescent="0.45">
      <c r="A25" s="59"/>
      <c r="B25" s="8" t="s">
        <v>32</v>
      </c>
      <c r="C25" s="19">
        <v>0</v>
      </c>
      <c r="D25" s="10">
        <v>0</v>
      </c>
      <c r="E25" s="26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58.380084151472651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26">
        <v>55</v>
      </c>
      <c r="R25" s="19">
        <v>0</v>
      </c>
      <c r="S25" s="19">
        <v>0</v>
      </c>
      <c r="T25" s="57">
        <v>0</v>
      </c>
      <c r="U25" s="19" t="e">
        <v>#DIV/0!</v>
      </c>
      <c r="V25" s="58" t="e">
        <v>#DIV/0!</v>
      </c>
      <c r="W25" s="21" t="e">
        <v>#DIV/0!</v>
      </c>
      <c r="X25" s="22" t="e">
        <v>#DIV/0!</v>
      </c>
      <c r="Y25" s="19" t="e">
        <v>#DIV/0!</v>
      </c>
      <c r="Z25" s="19" t="e">
        <v>#DIV/0!</v>
      </c>
      <c r="AA25" s="19" t="e">
        <v>#DIV/0!</v>
      </c>
      <c r="AB25" s="22" t="e">
        <v>#DIV/0!</v>
      </c>
      <c r="AC25" s="19" t="e">
        <v>#DIV/0!</v>
      </c>
      <c r="AD25" s="22" t="e">
        <v>#DIV/0!</v>
      </c>
      <c r="AE25" s="19" t="e">
        <v>#DIV/0!</v>
      </c>
      <c r="AF25" s="16" t="e">
        <v>#DIV/0!</v>
      </c>
      <c r="AG25" s="19" t="e">
        <v>#DIV/0!</v>
      </c>
      <c r="AH25" s="23">
        <f>AH33/AH38/8</f>
        <v>465.16900247320694</v>
      </c>
    </row>
    <row r="26" spans="1:34" x14ac:dyDescent="0.35">
      <c r="A26" s="59"/>
      <c r="B26" s="8" t="s">
        <v>33</v>
      </c>
      <c r="C26" s="19">
        <v>305</v>
      </c>
      <c r="D26" s="19">
        <v>56</v>
      </c>
      <c r="E26" s="19">
        <v>0</v>
      </c>
      <c r="F26" s="19">
        <v>287</v>
      </c>
      <c r="G26" s="19">
        <v>83</v>
      </c>
      <c r="H26" s="19">
        <v>301</v>
      </c>
      <c r="I26" s="19">
        <v>732</v>
      </c>
      <c r="J26" s="19">
        <v>358</v>
      </c>
      <c r="K26" s="19">
        <v>107</v>
      </c>
      <c r="L26" s="19">
        <v>720</v>
      </c>
      <c r="M26" s="19">
        <v>99</v>
      </c>
      <c r="N26" s="19">
        <v>825</v>
      </c>
      <c r="O26" s="19">
        <v>170</v>
      </c>
      <c r="P26" s="19">
        <v>59</v>
      </c>
      <c r="Q26" s="19">
        <v>0</v>
      </c>
      <c r="R26" s="19">
        <v>0</v>
      </c>
      <c r="S26" s="19">
        <v>0</v>
      </c>
      <c r="T26" s="20">
        <v>0</v>
      </c>
      <c r="U26" s="19">
        <v>0</v>
      </c>
      <c r="V26" s="16">
        <v>0</v>
      </c>
      <c r="W26" s="21">
        <v>0</v>
      </c>
      <c r="X26" s="22">
        <v>0</v>
      </c>
      <c r="Y26" s="19">
        <v>199</v>
      </c>
      <c r="Z26" s="19">
        <v>266</v>
      </c>
      <c r="AA26" s="19">
        <v>217</v>
      </c>
      <c r="AB26" s="22">
        <v>257</v>
      </c>
      <c r="AC26" s="19">
        <v>269</v>
      </c>
      <c r="AD26" s="22">
        <v>579</v>
      </c>
      <c r="AE26" s="19">
        <v>154</v>
      </c>
      <c r="AF26" s="16">
        <v>318</v>
      </c>
      <c r="AG26" s="19">
        <v>338</v>
      </c>
      <c r="AH26" s="23">
        <f>SUM(C26:AG26)</f>
        <v>6699</v>
      </c>
    </row>
    <row r="27" spans="1:34" x14ac:dyDescent="0.35">
      <c r="A27" s="59"/>
      <c r="B27" s="8" t="s">
        <v>34</v>
      </c>
      <c r="C27" s="62">
        <v>0.1613</v>
      </c>
      <c r="D27" s="50">
        <v>0.16450000000000001</v>
      </c>
      <c r="E27" s="62">
        <v>0.1767</v>
      </c>
      <c r="F27" s="62">
        <v>0.17130000000000001</v>
      </c>
      <c r="G27" s="62">
        <v>0.17519999999999999</v>
      </c>
      <c r="H27" s="62">
        <v>0.16880000000000001</v>
      </c>
      <c r="I27" s="62">
        <v>0.15340000000000001</v>
      </c>
      <c r="J27" s="62">
        <v>0.15110000000000001</v>
      </c>
      <c r="K27" s="62">
        <v>0.15359999999999999</v>
      </c>
      <c r="L27" s="62">
        <v>0.16039999999999999</v>
      </c>
      <c r="M27" s="62">
        <v>0.17069999999999999</v>
      </c>
      <c r="N27" s="62">
        <v>0.16950000000000001</v>
      </c>
      <c r="O27" s="62">
        <v>0.1646</v>
      </c>
      <c r="P27" s="62">
        <v>0.1636</v>
      </c>
      <c r="Q27" s="63">
        <v>0.1623</v>
      </c>
      <c r="R27" s="62">
        <v>0.1633</v>
      </c>
      <c r="S27" s="62">
        <v>0.15279999999999999</v>
      </c>
      <c r="T27" s="64">
        <v>0.1575</v>
      </c>
      <c r="U27" s="62">
        <v>0.1694</v>
      </c>
      <c r="V27" s="65">
        <v>0.1648</v>
      </c>
      <c r="W27" s="66">
        <v>0.17699999999999999</v>
      </c>
      <c r="X27" s="67">
        <v>0.1817</v>
      </c>
      <c r="Y27" s="62">
        <v>0.1706</v>
      </c>
      <c r="Z27" s="62">
        <v>0.15670000000000001</v>
      </c>
      <c r="AA27" s="62">
        <v>0.1598</v>
      </c>
      <c r="AB27" s="67">
        <v>0.15870000000000001</v>
      </c>
      <c r="AC27" s="62">
        <v>0.16139999999999999</v>
      </c>
      <c r="AD27" s="67">
        <v>0.16539999999999999</v>
      </c>
      <c r="AE27" s="62">
        <v>0.1585</v>
      </c>
      <c r="AF27" s="16">
        <v>0.14599999999999999</v>
      </c>
      <c r="AG27" s="62">
        <v>0.14949999999999999</v>
      </c>
      <c r="AH27" s="38">
        <f>+AVERAGEIF(C27:AG27,"&gt;0")</f>
        <v>0.16322903225806448</v>
      </c>
    </row>
    <row r="28" spans="1:34" x14ac:dyDescent="0.35">
      <c r="A28" s="59"/>
      <c r="B28" s="8" t="s">
        <v>35</v>
      </c>
      <c r="C28" s="62">
        <v>3.4500000000000003E-2</v>
      </c>
      <c r="D28" s="68">
        <v>3.56E-2</v>
      </c>
      <c r="E28" s="69">
        <v>3.5200000000000002E-2</v>
      </c>
      <c r="F28" s="62">
        <v>3.4099999999999998E-2</v>
      </c>
      <c r="G28" s="62">
        <v>3.3000000000000002E-2</v>
      </c>
      <c r="H28" s="62">
        <v>3.5999999999999997E-2</v>
      </c>
      <c r="I28" s="62">
        <v>3.4599999999999999E-2</v>
      </c>
      <c r="J28" s="62">
        <v>3.5799999999999998E-2</v>
      </c>
      <c r="K28" s="62">
        <v>3.5900000000000001E-2</v>
      </c>
      <c r="L28" s="62">
        <v>3.4500000000000003E-2</v>
      </c>
      <c r="M28" s="62">
        <v>3.5999999999999997E-2</v>
      </c>
      <c r="N28" s="62">
        <v>3.4099999999999998E-2</v>
      </c>
      <c r="O28" s="62">
        <v>3.5299999999999998E-2</v>
      </c>
      <c r="P28" s="62">
        <v>3.4599999999999999E-2</v>
      </c>
      <c r="Q28" s="69">
        <v>3.56E-2</v>
      </c>
      <c r="R28" s="62">
        <v>3.5299999999999998E-2</v>
      </c>
      <c r="S28" s="62">
        <v>3.44E-2</v>
      </c>
      <c r="T28" s="70">
        <v>3.5200000000000002E-2</v>
      </c>
      <c r="U28" s="62">
        <v>3.4500000000000003E-2</v>
      </c>
      <c r="V28" s="71">
        <v>3.61E-2</v>
      </c>
      <c r="W28" s="66">
        <v>3.5799999999999998E-2</v>
      </c>
      <c r="X28" s="67">
        <v>3.56E-2</v>
      </c>
      <c r="Y28" s="62">
        <v>3.4599999999999999E-2</v>
      </c>
      <c r="Z28" s="62">
        <v>3.5799999999999998E-2</v>
      </c>
      <c r="AA28" s="62">
        <v>3.6600000000000001E-2</v>
      </c>
      <c r="AB28" s="67">
        <v>3.6200000000000003E-2</v>
      </c>
      <c r="AC28" s="62">
        <v>3.5700000000000003E-2</v>
      </c>
      <c r="AD28" s="67">
        <v>3.4599999999999999E-2</v>
      </c>
      <c r="AE28" s="62">
        <v>3.6900000000000002E-2</v>
      </c>
      <c r="AF28" s="65">
        <v>3.6200000000000003E-2</v>
      </c>
      <c r="AG28" s="62">
        <v>3.5900000000000001E-2</v>
      </c>
      <c r="AH28" s="38">
        <f t="shared" ref="AH28:AH30" si="2">+AVERAGEIF(C28:AG28,"&gt;0")</f>
        <v>3.5296774193548382E-2</v>
      </c>
    </row>
    <row r="29" spans="1:34" x14ac:dyDescent="0.35">
      <c r="A29" s="59"/>
      <c r="B29" s="8" t="s">
        <v>36</v>
      </c>
      <c r="C29" s="62">
        <v>5.5899999999999998E-2</v>
      </c>
      <c r="D29" s="62">
        <v>5.5300000000000002E-2</v>
      </c>
      <c r="E29" s="72">
        <v>0</v>
      </c>
      <c r="F29" s="62">
        <v>5.4899999999999997E-2</v>
      </c>
      <c r="G29" s="62">
        <v>0</v>
      </c>
      <c r="H29" s="62">
        <v>0</v>
      </c>
      <c r="I29" s="62">
        <v>5.3100000000000001E-2</v>
      </c>
      <c r="J29" s="62">
        <v>0</v>
      </c>
      <c r="K29" s="62">
        <v>5.4699999999999999E-2</v>
      </c>
      <c r="L29" s="62">
        <v>5.1900000000000002E-2</v>
      </c>
      <c r="M29" s="62">
        <v>5.2600000000000001E-2</v>
      </c>
      <c r="N29" s="62">
        <v>5.3199999999999997E-2</v>
      </c>
      <c r="O29" s="62">
        <v>5.3199999999999997E-2</v>
      </c>
      <c r="P29" s="62">
        <v>4.7199999999999999E-2</v>
      </c>
      <c r="Q29" s="69">
        <v>0</v>
      </c>
      <c r="R29" s="62">
        <v>0</v>
      </c>
      <c r="S29" s="62">
        <v>0</v>
      </c>
      <c r="T29" s="70">
        <v>0</v>
      </c>
      <c r="U29" s="62">
        <v>0</v>
      </c>
      <c r="V29" s="71">
        <v>0</v>
      </c>
      <c r="W29" s="66">
        <v>0</v>
      </c>
      <c r="X29" s="67">
        <v>0</v>
      </c>
      <c r="Y29" s="62">
        <v>5.5500000000000001E-2</v>
      </c>
      <c r="Z29" s="62">
        <v>4.9500000000000002E-2</v>
      </c>
      <c r="AA29" s="62">
        <v>5.5E-2</v>
      </c>
      <c r="AB29" s="67">
        <v>5.5199999999999999E-2</v>
      </c>
      <c r="AC29" s="62">
        <v>5.4899999999999997E-2</v>
      </c>
      <c r="AD29" s="67">
        <v>5.5399999999999998E-2</v>
      </c>
      <c r="AE29" s="62">
        <v>5.5199999999999999E-2</v>
      </c>
      <c r="AF29" s="65">
        <v>5.4899999999999997E-2</v>
      </c>
      <c r="AG29" s="62">
        <v>5.2999999999999999E-2</v>
      </c>
      <c r="AH29" s="38">
        <f t="shared" si="2"/>
        <v>5.371578947368421E-2</v>
      </c>
    </row>
    <row r="30" spans="1:34" x14ac:dyDescent="0.35">
      <c r="A30" s="59"/>
      <c r="B30" s="8" t="s">
        <v>37</v>
      </c>
      <c r="C30" s="73">
        <v>0</v>
      </c>
      <c r="D30" s="73">
        <v>0</v>
      </c>
      <c r="E30" s="69">
        <v>0</v>
      </c>
      <c r="F30" s="73">
        <v>0</v>
      </c>
      <c r="G30" s="62">
        <v>0</v>
      </c>
      <c r="H30" s="74">
        <v>0</v>
      </c>
      <c r="I30" s="74">
        <v>0</v>
      </c>
      <c r="J30" s="73">
        <v>0</v>
      </c>
      <c r="K30" s="73">
        <v>3.5900000000000001E-2</v>
      </c>
      <c r="L30" s="75">
        <v>0</v>
      </c>
      <c r="M30" s="76">
        <v>0</v>
      </c>
      <c r="N30" s="73">
        <v>0</v>
      </c>
      <c r="O30" s="75">
        <v>0</v>
      </c>
      <c r="P30" s="73">
        <v>0</v>
      </c>
      <c r="Q30" s="69">
        <v>3.56E-2</v>
      </c>
      <c r="R30" s="73">
        <v>0</v>
      </c>
      <c r="S30" s="73">
        <v>0</v>
      </c>
      <c r="T30" s="70">
        <v>0</v>
      </c>
      <c r="U30" s="73">
        <v>0</v>
      </c>
      <c r="V30" s="71">
        <v>0</v>
      </c>
      <c r="W30" s="77">
        <v>0</v>
      </c>
      <c r="X30" s="78">
        <v>0</v>
      </c>
      <c r="Y30" s="73">
        <v>0</v>
      </c>
      <c r="Z30" s="73">
        <v>0</v>
      </c>
      <c r="AA30" s="73">
        <v>0</v>
      </c>
      <c r="AB30" s="78">
        <v>0</v>
      </c>
      <c r="AC30" s="73">
        <v>0</v>
      </c>
      <c r="AD30" s="78">
        <v>0</v>
      </c>
      <c r="AE30" s="73">
        <v>0</v>
      </c>
      <c r="AF30" s="16">
        <v>0</v>
      </c>
      <c r="AG30" s="73">
        <v>0</v>
      </c>
      <c r="AH30" s="38">
        <f t="shared" si="2"/>
        <v>3.5750000000000004E-2</v>
      </c>
    </row>
    <row r="31" spans="1:34" ht="18.5" x14ac:dyDescent="0.45">
      <c r="A31" s="59"/>
      <c r="B31" s="8" t="s">
        <v>38</v>
      </c>
      <c r="C31" s="19">
        <v>7703</v>
      </c>
      <c r="D31" s="19">
        <v>5384</v>
      </c>
      <c r="E31" s="19">
        <v>6122</v>
      </c>
      <c r="F31" s="19">
        <v>7162</v>
      </c>
      <c r="G31" s="19">
        <v>4510</v>
      </c>
      <c r="H31" s="19">
        <v>5987</v>
      </c>
      <c r="I31" s="19">
        <v>9214</v>
      </c>
      <c r="J31" s="19">
        <v>8403</v>
      </c>
      <c r="K31" s="19">
        <v>8367</v>
      </c>
      <c r="L31" s="19">
        <v>9672</v>
      </c>
      <c r="M31" s="19">
        <v>8245</v>
      </c>
      <c r="N31" s="19">
        <v>8972</v>
      </c>
      <c r="O31" s="19">
        <v>8383</v>
      </c>
      <c r="P31" s="19">
        <v>3160</v>
      </c>
      <c r="Q31" s="19">
        <v>6549</v>
      </c>
      <c r="R31" s="19">
        <v>5913</v>
      </c>
      <c r="S31" s="19">
        <v>3023</v>
      </c>
      <c r="T31" s="57">
        <v>5275</v>
      </c>
      <c r="U31" s="19">
        <v>3598</v>
      </c>
      <c r="V31" s="79">
        <v>4577</v>
      </c>
      <c r="W31" s="21">
        <v>4610</v>
      </c>
      <c r="X31" s="22">
        <v>3544</v>
      </c>
      <c r="Y31" s="19">
        <v>4031</v>
      </c>
      <c r="Z31" s="19">
        <v>6198</v>
      </c>
      <c r="AA31" s="19">
        <v>6129</v>
      </c>
      <c r="AB31" s="22">
        <v>3832</v>
      </c>
      <c r="AC31" s="19">
        <v>6332</v>
      </c>
      <c r="AD31" s="22">
        <v>7068</v>
      </c>
      <c r="AE31" s="19">
        <v>6612</v>
      </c>
      <c r="AF31" s="16">
        <v>4947</v>
      </c>
      <c r="AG31" s="19">
        <v>4626</v>
      </c>
      <c r="AH31" s="23">
        <f>SUM(C31:AG31)</f>
        <v>188148</v>
      </c>
    </row>
    <row r="32" spans="1:34" ht="15.5" x14ac:dyDescent="0.35">
      <c r="A32" s="59"/>
      <c r="B32" s="8" t="s">
        <v>39</v>
      </c>
      <c r="C32" s="73">
        <v>5540</v>
      </c>
      <c r="D32" s="73">
        <v>5054</v>
      </c>
      <c r="E32" s="73">
        <v>6122</v>
      </c>
      <c r="F32" s="73">
        <v>4192</v>
      </c>
      <c r="G32" s="73">
        <v>4510</v>
      </c>
      <c r="H32" s="73">
        <v>5987</v>
      </c>
      <c r="I32" s="73">
        <v>5974</v>
      </c>
      <c r="J32" s="73">
        <v>8403</v>
      </c>
      <c r="K32" s="73">
        <v>3917</v>
      </c>
      <c r="L32" s="73">
        <v>2892</v>
      </c>
      <c r="M32" s="73">
        <v>7445</v>
      </c>
      <c r="N32" s="73">
        <v>1972</v>
      </c>
      <c r="O32" s="73">
        <v>6870</v>
      </c>
      <c r="P32" s="73">
        <v>1810</v>
      </c>
      <c r="Q32" s="73">
        <v>4349</v>
      </c>
      <c r="R32" s="73">
        <v>5913</v>
      </c>
      <c r="S32" s="73">
        <v>3023</v>
      </c>
      <c r="T32" s="80">
        <v>5275</v>
      </c>
      <c r="U32" s="73">
        <v>3598</v>
      </c>
      <c r="V32" s="81">
        <v>4577</v>
      </c>
      <c r="W32" s="77">
        <v>4610</v>
      </c>
      <c r="X32" s="78">
        <v>3544</v>
      </c>
      <c r="Y32" s="73">
        <v>2720</v>
      </c>
      <c r="Z32" s="19">
        <v>4230</v>
      </c>
      <c r="AA32" s="19">
        <v>4129</v>
      </c>
      <c r="AB32" s="22">
        <v>1932</v>
      </c>
      <c r="AC32" s="19">
        <v>4760</v>
      </c>
      <c r="AD32" s="22">
        <v>3340</v>
      </c>
      <c r="AE32" s="19">
        <v>5600</v>
      </c>
      <c r="AF32" s="16">
        <v>2920</v>
      </c>
      <c r="AG32" s="19">
        <v>2270</v>
      </c>
      <c r="AH32" s="23">
        <f>SUM(C32:AG32)</f>
        <v>137478</v>
      </c>
    </row>
    <row r="33" spans="1:34" ht="15.5" x14ac:dyDescent="0.35">
      <c r="A33" s="59"/>
      <c r="B33" s="8" t="s">
        <v>40</v>
      </c>
      <c r="C33" s="73">
        <v>2163</v>
      </c>
      <c r="D33" s="73">
        <v>330</v>
      </c>
      <c r="E33" s="60">
        <v>0</v>
      </c>
      <c r="F33" s="73">
        <v>2970</v>
      </c>
      <c r="G33" s="73">
        <v>0</v>
      </c>
      <c r="H33" s="73">
        <v>0</v>
      </c>
      <c r="I33" s="73">
        <v>3240</v>
      </c>
      <c r="J33" s="73">
        <v>0</v>
      </c>
      <c r="K33" s="73">
        <v>1120</v>
      </c>
      <c r="L33" s="73">
        <v>6780</v>
      </c>
      <c r="M33" s="73">
        <v>800</v>
      </c>
      <c r="N33" s="73">
        <v>7000</v>
      </c>
      <c r="O33" s="73">
        <v>1513</v>
      </c>
      <c r="P33" s="73">
        <v>1350</v>
      </c>
      <c r="Q33" s="60">
        <v>0</v>
      </c>
      <c r="R33" s="73">
        <v>0</v>
      </c>
      <c r="S33" s="73">
        <v>0</v>
      </c>
      <c r="T33" s="1">
        <v>0</v>
      </c>
      <c r="U33" s="73">
        <v>0</v>
      </c>
      <c r="V33" s="82">
        <v>0</v>
      </c>
      <c r="W33" s="77">
        <v>0</v>
      </c>
      <c r="X33" s="78">
        <v>0</v>
      </c>
      <c r="Y33" s="73">
        <v>1311</v>
      </c>
      <c r="Z33" s="19">
        <v>1968</v>
      </c>
      <c r="AA33" s="19">
        <v>2000</v>
      </c>
      <c r="AB33" s="22">
        <v>1900</v>
      </c>
      <c r="AC33" s="19">
        <v>1572</v>
      </c>
      <c r="AD33" s="22">
        <v>3728</v>
      </c>
      <c r="AE33" s="19">
        <v>1012</v>
      </c>
      <c r="AF33" s="16">
        <v>2027</v>
      </c>
      <c r="AG33" s="19">
        <v>2356</v>
      </c>
      <c r="AH33" s="23">
        <f>SUM(C33:AG33)</f>
        <v>45140</v>
      </c>
    </row>
    <row r="34" spans="1:34" ht="18.5" x14ac:dyDescent="0.45">
      <c r="A34" s="83"/>
      <c r="B34" s="8" t="s">
        <v>41</v>
      </c>
      <c r="C34" s="73">
        <v>0</v>
      </c>
      <c r="D34" s="73">
        <v>0</v>
      </c>
      <c r="E34" s="84">
        <v>0</v>
      </c>
      <c r="F34" s="73">
        <v>0</v>
      </c>
      <c r="G34" s="73">
        <v>0</v>
      </c>
      <c r="H34" s="73">
        <v>0</v>
      </c>
      <c r="I34" s="73">
        <v>0</v>
      </c>
      <c r="J34" s="73">
        <v>0</v>
      </c>
      <c r="K34" s="73">
        <v>3330</v>
      </c>
      <c r="L34" s="73">
        <v>3330</v>
      </c>
      <c r="M34" s="73">
        <v>0</v>
      </c>
      <c r="N34" s="73">
        <v>0</v>
      </c>
      <c r="O34" s="73">
        <v>0</v>
      </c>
      <c r="P34" s="73">
        <v>0</v>
      </c>
      <c r="Q34" s="84">
        <v>2200</v>
      </c>
      <c r="R34" s="73">
        <v>0</v>
      </c>
      <c r="S34" s="73">
        <v>0</v>
      </c>
      <c r="T34" s="85">
        <v>0</v>
      </c>
      <c r="U34" s="73">
        <v>0</v>
      </c>
      <c r="V34" s="86">
        <v>0</v>
      </c>
      <c r="W34" s="77">
        <v>0</v>
      </c>
      <c r="X34" s="78">
        <v>0</v>
      </c>
      <c r="Y34" s="73">
        <v>0</v>
      </c>
      <c r="Z34" s="19">
        <v>0</v>
      </c>
      <c r="AA34" s="19">
        <v>0</v>
      </c>
      <c r="AB34" s="22">
        <v>0</v>
      </c>
      <c r="AC34" s="19">
        <v>0</v>
      </c>
      <c r="AD34" s="22">
        <v>0</v>
      </c>
      <c r="AE34" s="19">
        <v>0</v>
      </c>
      <c r="AF34" s="16">
        <v>0</v>
      </c>
      <c r="AG34" s="19">
        <v>0</v>
      </c>
      <c r="AH34" s="23">
        <f>+SUM(C34:AG34)</f>
        <v>8860</v>
      </c>
    </row>
    <row r="35" spans="1:34" ht="15.5" x14ac:dyDescent="0.35">
      <c r="A35" s="49" t="s">
        <v>42</v>
      </c>
      <c r="B35" s="8" t="s">
        <v>21</v>
      </c>
      <c r="C35" s="87">
        <v>21.583333333333332</v>
      </c>
      <c r="D35" s="87">
        <v>15.25</v>
      </c>
      <c r="E35" s="88">
        <v>19.333333333333336</v>
      </c>
      <c r="F35" s="87">
        <v>21.333333333333332</v>
      </c>
      <c r="G35" s="73">
        <v>14.166666666666668</v>
      </c>
      <c r="H35" s="87">
        <v>16.75</v>
      </c>
      <c r="I35" s="87">
        <v>22.250000000000004</v>
      </c>
      <c r="J35" s="87">
        <v>18.333333333333332</v>
      </c>
      <c r="K35" s="89">
        <v>19</v>
      </c>
      <c r="L35" s="73">
        <v>23.166666666666668</v>
      </c>
      <c r="M35" s="73">
        <v>23.166666666666668</v>
      </c>
      <c r="N35" s="73">
        <v>22.083333333333332</v>
      </c>
      <c r="O35" s="73">
        <v>20.75</v>
      </c>
      <c r="P35" s="73">
        <v>8.5</v>
      </c>
      <c r="Q35" s="88">
        <v>16.583333333333336</v>
      </c>
      <c r="R35" s="87">
        <v>16.916666666666668</v>
      </c>
      <c r="S35" s="87">
        <v>7.166666666666667</v>
      </c>
      <c r="T35" s="90">
        <v>12.322916666666668</v>
      </c>
      <c r="U35" s="89">
        <v>10.166666666666666</v>
      </c>
      <c r="V35" s="91">
        <v>12.916666666666668</v>
      </c>
      <c r="W35" s="92">
        <v>15.5</v>
      </c>
      <c r="X35" s="78">
        <v>12.083333333333334</v>
      </c>
      <c r="Y35" s="73">
        <v>10.5</v>
      </c>
      <c r="Z35" s="19">
        <v>14.416666666666668</v>
      </c>
      <c r="AA35" s="19">
        <v>15</v>
      </c>
      <c r="AB35" s="22">
        <v>9.9166666666666679</v>
      </c>
      <c r="AC35" s="19">
        <v>17.833333333333336</v>
      </c>
      <c r="AD35" s="47">
        <v>18.083333333333336</v>
      </c>
      <c r="AE35" s="19">
        <v>16.666666666666668</v>
      </c>
      <c r="AF35" s="16">
        <v>12</v>
      </c>
      <c r="AG35" s="19">
        <v>11.166666666666666</v>
      </c>
      <c r="AH35" s="93">
        <f t="shared" ref="AH35:AH48" si="3">SUM(C35:AG35)</f>
        <v>494.90625000000011</v>
      </c>
    </row>
    <row r="36" spans="1:34" x14ac:dyDescent="0.35">
      <c r="A36" s="49"/>
      <c r="B36" s="8" t="s">
        <v>43</v>
      </c>
      <c r="C36" s="87">
        <v>16.283333333333331</v>
      </c>
      <c r="D36" s="87">
        <v>14.45</v>
      </c>
      <c r="E36" s="88">
        <v>19.329999999999998</v>
      </c>
      <c r="F36" s="87">
        <v>13.33</v>
      </c>
      <c r="G36" s="73">
        <v>14.17</v>
      </c>
      <c r="H36" s="87">
        <v>16.75</v>
      </c>
      <c r="I36" s="87">
        <v>14.85</v>
      </c>
      <c r="J36" s="87">
        <v>18.329999999999998</v>
      </c>
      <c r="K36" s="89">
        <v>9.5</v>
      </c>
      <c r="L36" s="73">
        <v>7.17</v>
      </c>
      <c r="M36" s="73">
        <v>21.25</v>
      </c>
      <c r="N36" s="73">
        <v>5.66</v>
      </c>
      <c r="O36" s="73">
        <v>17.25</v>
      </c>
      <c r="P36" s="73">
        <v>5</v>
      </c>
      <c r="Q36" s="88">
        <v>11.58</v>
      </c>
      <c r="R36" s="87">
        <v>16.920000000000002</v>
      </c>
      <c r="S36" s="87">
        <v>7.17</v>
      </c>
      <c r="T36" s="94">
        <v>12.32</v>
      </c>
      <c r="U36" s="89">
        <v>10.17</v>
      </c>
      <c r="V36" s="95">
        <v>12.92</v>
      </c>
      <c r="W36" s="77">
        <v>15.5</v>
      </c>
      <c r="X36" s="96">
        <v>12.08</v>
      </c>
      <c r="Y36" s="73">
        <v>7.5</v>
      </c>
      <c r="Z36" s="19">
        <v>10.42</v>
      </c>
      <c r="AA36" s="19">
        <v>10.5</v>
      </c>
      <c r="AB36" s="22">
        <v>5.42</v>
      </c>
      <c r="AC36" s="19">
        <v>14</v>
      </c>
      <c r="AD36" s="47">
        <v>9</v>
      </c>
      <c r="AE36" s="19">
        <v>14.67</v>
      </c>
      <c r="AF36" s="16">
        <v>7.35</v>
      </c>
      <c r="AG36" s="19">
        <v>5.8166666666666664</v>
      </c>
      <c r="AH36" s="93">
        <f t="shared" si="3"/>
        <v>376.66</v>
      </c>
    </row>
    <row r="37" spans="1:34" x14ac:dyDescent="0.35">
      <c r="A37" s="49"/>
      <c r="B37" s="8" t="s">
        <v>44</v>
      </c>
      <c r="C37" s="87">
        <v>5.3</v>
      </c>
      <c r="D37" s="87">
        <v>0.8</v>
      </c>
      <c r="E37" s="88">
        <v>0.8</v>
      </c>
      <c r="F37" s="87">
        <v>8</v>
      </c>
      <c r="G37" s="87">
        <v>0</v>
      </c>
      <c r="H37" s="87">
        <v>0</v>
      </c>
      <c r="I37" s="87">
        <v>7.4</v>
      </c>
      <c r="J37" s="87">
        <v>0</v>
      </c>
      <c r="K37" s="87">
        <v>2.37</v>
      </c>
      <c r="L37" s="87">
        <v>16</v>
      </c>
      <c r="M37" s="87">
        <v>1.92</v>
      </c>
      <c r="N37" s="87">
        <v>16.420000000000002</v>
      </c>
      <c r="O37" s="73">
        <v>3.5</v>
      </c>
      <c r="P37" s="73">
        <v>3.5</v>
      </c>
      <c r="Q37" s="88">
        <v>0</v>
      </c>
      <c r="R37" s="87">
        <v>0</v>
      </c>
      <c r="S37" s="87">
        <v>0</v>
      </c>
      <c r="T37" s="94">
        <v>0</v>
      </c>
      <c r="U37" s="89">
        <v>0</v>
      </c>
      <c r="V37" s="95">
        <v>0</v>
      </c>
      <c r="W37" s="92">
        <v>0</v>
      </c>
      <c r="X37" s="96">
        <v>0</v>
      </c>
      <c r="Y37" s="73">
        <v>3</v>
      </c>
      <c r="Z37" s="19">
        <v>4</v>
      </c>
      <c r="AA37" s="19">
        <v>4.5</v>
      </c>
      <c r="AB37" s="22">
        <v>4.5</v>
      </c>
      <c r="AC37" s="19">
        <v>3.83</v>
      </c>
      <c r="AD37" s="47">
        <v>9.08</v>
      </c>
      <c r="AE37" s="19">
        <v>2</v>
      </c>
      <c r="AF37" s="16">
        <v>4.6500000000000004</v>
      </c>
      <c r="AG37" s="19">
        <v>5.35</v>
      </c>
      <c r="AH37" s="93">
        <f t="shared" si="3"/>
        <v>106.92</v>
      </c>
    </row>
    <row r="38" spans="1:34" x14ac:dyDescent="0.35">
      <c r="A38" s="49"/>
      <c r="B38" s="8" t="s">
        <v>45</v>
      </c>
      <c r="C38" s="87">
        <v>0</v>
      </c>
      <c r="D38" s="87">
        <v>0</v>
      </c>
      <c r="E38" s="88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7.13</v>
      </c>
      <c r="L38" s="87">
        <v>0</v>
      </c>
      <c r="M38" s="87">
        <v>0</v>
      </c>
      <c r="N38" s="87">
        <v>0</v>
      </c>
      <c r="O38" s="73">
        <v>0</v>
      </c>
      <c r="P38" s="73">
        <v>0</v>
      </c>
      <c r="Q38" s="88">
        <v>5</v>
      </c>
      <c r="R38" s="87">
        <v>0</v>
      </c>
      <c r="S38" s="87">
        <v>0</v>
      </c>
      <c r="T38" s="94">
        <v>0</v>
      </c>
      <c r="U38" s="89">
        <v>0</v>
      </c>
      <c r="V38" s="95">
        <v>0</v>
      </c>
      <c r="W38" s="92">
        <v>0</v>
      </c>
      <c r="X38" s="96">
        <v>0</v>
      </c>
      <c r="Y38" s="73">
        <v>0</v>
      </c>
      <c r="Z38" s="19">
        <v>0</v>
      </c>
      <c r="AA38" s="19">
        <v>0</v>
      </c>
      <c r="AB38" s="46">
        <v>0</v>
      </c>
      <c r="AC38" s="41">
        <v>0</v>
      </c>
      <c r="AD38" s="47">
        <v>0</v>
      </c>
      <c r="AE38" s="41">
        <v>0</v>
      </c>
      <c r="AF38" s="16">
        <v>0</v>
      </c>
      <c r="AG38" s="41">
        <v>0</v>
      </c>
      <c r="AH38" s="93">
        <f>SUM(C38:AG38)</f>
        <v>12.129999999999999</v>
      </c>
    </row>
    <row r="39" spans="1:34" x14ac:dyDescent="0.35">
      <c r="A39" s="49"/>
      <c r="B39" s="8" t="s">
        <v>46</v>
      </c>
      <c r="C39" s="41">
        <v>23.750000000000004</v>
      </c>
      <c r="D39" s="41">
        <v>15.333333333333332</v>
      </c>
      <c r="E39" s="97">
        <v>20.000000000000004</v>
      </c>
      <c r="F39" s="41">
        <v>22.166666666666668</v>
      </c>
      <c r="G39" s="41">
        <v>15.166666666666666</v>
      </c>
      <c r="H39" s="41">
        <v>18.666666666666668</v>
      </c>
      <c r="I39" s="41">
        <v>23.333333333333336</v>
      </c>
      <c r="J39" s="41">
        <v>19.666666666666668</v>
      </c>
      <c r="K39" s="41">
        <v>21.500000000000004</v>
      </c>
      <c r="L39" s="41">
        <v>23.5</v>
      </c>
      <c r="M39" s="41">
        <v>24</v>
      </c>
      <c r="N39" s="41">
        <v>22.083333333333332</v>
      </c>
      <c r="O39" s="41">
        <v>23.833333333333336</v>
      </c>
      <c r="P39" s="41">
        <v>12.333333333333332</v>
      </c>
      <c r="Q39" s="97">
        <v>20.5</v>
      </c>
      <c r="R39" s="41">
        <v>21</v>
      </c>
      <c r="S39" s="41">
        <v>9.3333333333333357</v>
      </c>
      <c r="T39" s="98">
        <v>18.833333333333336</v>
      </c>
      <c r="U39" s="41">
        <v>13.833333333333332</v>
      </c>
      <c r="V39" s="99">
        <v>15.333333333333332</v>
      </c>
      <c r="W39" s="51">
        <v>16.000000000000004</v>
      </c>
      <c r="X39" s="47">
        <v>15.499999999999998</v>
      </c>
      <c r="Y39" s="41">
        <v>13.000000000000002</v>
      </c>
      <c r="Z39" s="41">
        <v>19</v>
      </c>
      <c r="AA39" s="41">
        <v>19</v>
      </c>
      <c r="AB39" s="47">
        <v>13.000000000000002</v>
      </c>
      <c r="AC39" s="41">
        <v>21</v>
      </c>
      <c r="AD39" s="47">
        <v>21.500000000000004</v>
      </c>
      <c r="AE39" s="41">
        <v>22.583333333333336</v>
      </c>
      <c r="AF39" s="16">
        <v>24</v>
      </c>
      <c r="AG39" s="41">
        <v>22.5</v>
      </c>
      <c r="AH39" s="93">
        <f t="shared" si="3"/>
        <v>591.25</v>
      </c>
    </row>
    <row r="40" spans="1:34" x14ac:dyDescent="0.35">
      <c r="A40" s="49"/>
      <c r="B40" s="8" t="s">
        <v>47</v>
      </c>
      <c r="C40" s="41">
        <v>23.750000000000004</v>
      </c>
      <c r="D40" s="41">
        <v>15.250000000000002</v>
      </c>
      <c r="E40" s="97">
        <v>20.5</v>
      </c>
      <c r="F40" s="41">
        <v>22.333333333333336</v>
      </c>
      <c r="G40" s="41">
        <v>15.166666666666666</v>
      </c>
      <c r="H40" s="41">
        <v>19</v>
      </c>
      <c r="I40" s="41">
        <v>23.333333333333336</v>
      </c>
      <c r="J40" s="41">
        <v>20.000000000000004</v>
      </c>
      <c r="K40" s="41">
        <v>21.500000000000004</v>
      </c>
      <c r="L40" s="41">
        <v>23.5</v>
      </c>
      <c r="M40" s="41">
        <v>24</v>
      </c>
      <c r="N40" s="41">
        <v>23.5</v>
      </c>
      <c r="O40" s="41">
        <v>23.000000000000004</v>
      </c>
      <c r="P40" s="41">
        <v>12.250000000000002</v>
      </c>
      <c r="Q40" s="97">
        <v>20.166666666666668</v>
      </c>
      <c r="R40" s="41">
        <v>20.833333333333336</v>
      </c>
      <c r="S40" s="41">
        <v>9</v>
      </c>
      <c r="T40" s="98">
        <v>18.500000000000004</v>
      </c>
      <c r="U40" s="41">
        <v>14.333333333333334</v>
      </c>
      <c r="V40" s="99">
        <v>15.333333333333332</v>
      </c>
      <c r="W40" s="51">
        <v>16.833333333333332</v>
      </c>
      <c r="X40" s="47">
        <v>15.166666666666666</v>
      </c>
      <c r="Y40" s="41">
        <v>9</v>
      </c>
      <c r="Z40" s="41">
        <v>16.083333333333332</v>
      </c>
      <c r="AA40" s="41">
        <v>19</v>
      </c>
      <c r="AB40" s="47">
        <v>12.75</v>
      </c>
      <c r="AC40" s="41">
        <v>21</v>
      </c>
      <c r="AD40" s="47">
        <v>21.666666666666668</v>
      </c>
      <c r="AE40" s="41">
        <v>22.416666666666668</v>
      </c>
      <c r="AF40" s="16">
        <v>24</v>
      </c>
      <c r="AG40" s="41">
        <v>22.083333333333332</v>
      </c>
      <c r="AH40" s="93">
        <f t="shared" si="3"/>
        <v>585.25</v>
      </c>
    </row>
    <row r="41" spans="1:34" x14ac:dyDescent="0.35">
      <c r="A41" s="49"/>
      <c r="B41" s="8" t="s">
        <v>48</v>
      </c>
      <c r="C41" s="41">
        <v>13.750000000000002</v>
      </c>
      <c r="D41" s="41">
        <v>15.250000000000002</v>
      </c>
      <c r="E41" s="97">
        <v>19.5</v>
      </c>
      <c r="F41" s="41">
        <v>23.000000000000004</v>
      </c>
      <c r="G41" s="41">
        <v>13.5</v>
      </c>
      <c r="H41" s="41">
        <v>17.333333333333336</v>
      </c>
      <c r="I41" s="41">
        <v>23.333333333333336</v>
      </c>
      <c r="J41" s="41">
        <v>19.666666666666668</v>
      </c>
      <c r="K41" s="41">
        <v>13.5</v>
      </c>
      <c r="L41" s="41">
        <v>23.333333333333336</v>
      </c>
      <c r="M41" s="41">
        <v>23.5</v>
      </c>
      <c r="N41" s="41">
        <v>23.25</v>
      </c>
      <c r="O41" s="41">
        <v>23.166666666666668</v>
      </c>
      <c r="P41" s="41">
        <v>10.083333333333336</v>
      </c>
      <c r="Q41" s="97">
        <v>20.083333333333336</v>
      </c>
      <c r="R41" s="41">
        <v>20.833333333333336</v>
      </c>
      <c r="S41" s="41">
        <v>9</v>
      </c>
      <c r="T41" s="98">
        <v>12.666666666666664</v>
      </c>
      <c r="U41" s="41">
        <v>12</v>
      </c>
      <c r="V41" s="99">
        <v>15.250000000000002</v>
      </c>
      <c r="W41" s="51">
        <v>14.666666666666668</v>
      </c>
      <c r="X41" s="47">
        <v>14.666666666666668</v>
      </c>
      <c r="Y41" s="41">
        <v>8.5</v>
      </c>
      <c r="Z41" s="41">
        <v>0</v>
      </c>
      <c r="AA41" s="41">
        <v>0</v>
      </c>
      <c r="AB41" s="47">
        <v>0</v>
      </c>
      <c r="AC41" s="41">
        <v>0</v>
      </c>
      <c r="AD41" s="47">
        <v>6.2499999999999991</v>
      </c>
      <c r="AE41" s="41">
        <v>13.666666666666666</v>
      </c>
      <c r="AF41" s="16">
        <v>24</v>
      </c>
      <c r="AG41" s="41">
        <v>21.75</v>
      </c>
      <c r="AH41" s="93">
        <f t="shared" si="3"/>
        <v>455.50000000000006</v>
      </c>
    </row>
    <row r="42" spans="1:34" x14ac:dyDescent="0.35">
      <c r="A42" s="49"/>
      <c r="B42" s="8" t="s">
        <v>49</v>
      </c>
      <c r="C42" s="41">
        <v>23.416666666666668</v>
      </c>
      <c r="D42" s="41">
        <v>15.250000000000002</v>
      </c>
      <c r="E42" s="97">
        <v>19.166666666666668</v>
      </c>
      <c r="F42" s="41">
        <v>23.000000000000004</v>
      </c>
      <c r="G42" s="41">
        <v>15.333333333333332</v>
      </c>
      <c r="H42" s="41">
        <v>16.166666666666668</v>
      </c>
      <c r="I42" s="41">
        <v>23.666666666666668</v>
      </c>
      <c r="J42" s="41">
        <v>19</v>
      </c>
      <c r="K42" s="41">
        <v>21.666666666666668</v>
      </c>
      <c r="L42" s="41">
        <v>23.5</v>
      </c>
      <c r="M42" s="41">
        <v>23.416666666666668</v>
      </c>
      <c r="N42" s="41">
        <v>23.5</v>
      </c>
      <c r="O42" s="41">
        <v>17.666666666666668</v>
      </c>
      <c r="P42" s="41">
        <v>8.0000000000000018</v>
      </c>
      <c r="Q42" s="97">
        <v>19.833333333333332</v>
      </c>
      <c r="R42" s="41">
        <v>20.833333333333336</v>
      </c>
      <c r="S42" s="41">
        <v>6</v>
      </c>
      <c r="T42" s="98">
        <v>10.5</v>
      </c>
      <c r="U42" s="41">
        <v>12.499999999999998</v>
      </c>
      <c r="V42" s="99">
        <v>14.749999999999998</v>
      </c>
      <c r="W42" s="51">
        <v>15.916666666666666</v>
      </c>
      <c r="X42" s="47">
        <v>14.166666666666668</v>
      </c>
      <c r="Y42" s="41">
        <v>13.000000000000002</v>
      </c>
      <c r="Z42" s="41">
        <v>19</v>
      </c>
      <c r="AA42" s="41">
        <v>18</v>
      </c>
      <c r="AB42" s="47">
        <v>11.750000000000002</v>
      </c>
      <c r="AC42" s="41">
        <v>19.583333333333336</v>
      </c>
      <c r="AD42" s="47">
        <v>20.916666666666668</v>
      </c>
      <c r="AE42" s="41">
        <v>22.333333333333336</v>
      </c>
      <c r="AF42" s="16">
        <v>24</v>
      </c>
      <c r="AG42" s="41">
        <v>23.000000000000004</v>
      </c>
      <c r="AH42" s="93">
        <f t="shared" si="3"/>
        <v>558.83333333333326</v>
      </c>
    </row>
    <row r="43" spans="1:34" x14ac:dyDescent="0.35">
      <c r="A43" s="49"/>
      <c r="B43" s="8" t="s">
        <v>50</v>
      </c>
      <c r="C43" s="41">
        <v>23.583333333333332</v>
      </c>
      <c r="D43" s="41">
        <v>15.250000000000002</v>
      </c>
      <c r="E43" s="97">
        <v>19.666666666666668</v>
      </c>
      <c r="F43" s="41">
        <v>22</v>
      </c>
      <c r="G43" s="41">
        <v>15.166666666666666</v>
      </c>
      <c r="H43" s="41">
        <v>17</v>
      </c>
      <c r="I43" s="41">
        <v>23.000000000000004</v>
      </c>
      <c r="J43" s="41">
        <v>18.666666666666668</v>
      </c>
      <c r="K43" s="41">
        <v>21.500000000000004</v>
      </c>
      <c r="L43" s="41">
        <v>23.5</v>
      </c>
      <c r="M43" s="41">
        <v>23.000000000000004</v>
      </c>
      <c r="N43" s="41">
        <v>23.166666666666668</v>
      </c>
      <c r="O43" s="41">
        <v>23.000000000000004</v>
      </c>
      <c r="P43" s="41">
        <v>12.499999999999998</v>
      </c>
      <c r="Q43" s="97">
        <v>20.083333333333336</v>
      </c>
      <c r="R43" s="41">
        <v>20.916666666666668</v>
      </c>
      <c r="S43" s="41">
        <v>9</v>
      </c>
      <c r="T43" s="98">
        <v>18.916666666666668</v>
      </c>
      <c r="U43" s="41">
        <v>14.833333333333334</v>
      </c>
      <c r="V43" s="99">
        <v>15.333333333333332</v>
      </c>
      <c r="W43" s="51">
        <v>15.75</v>
      </c>
      <c r="X43" s="47">
        <v>14.166666666666668</v>
      </c>
      <c r="Y43" s="41">
        <v>13.000000000000002</v>
      </c>
      <c r="Z43" s="41">
        <v>15.250000000000002</v>
      </c>
      <c r="AA43" s="41">
        <v>18</v>
      </c>
      <c r="AB43" s="47">
        <v>11.750000000000002</v>
      </c>
      <c r="AC43" s="41">
        <v>20.083333333333336</v>
      </c>
      <c r="AD43" s="47">
        <v>19.083333333333332</v>
      </c>
      <c r="AE43" s="41">
        <v>17.333333333333336</v>
      </c>
      <c r="AF43" s="16">
        <v>0</v>
      </c>
      <c r="AG43" s="41">
        <v>0</v>
      </c>
      <c r="AH43" s="93">
        <f t="shared" si="3"/>
        <v>524.5</v>
      </c>
    </row>
    <row r="44" spans="1:34" x14ac:dyDescent="0.35">
      <c r="A44" s="49"/>
      <c r="B44" s="8" t="s">
        <v>51</v>
      </c>
      <c r="C44" s="41">
        <v>22.916666666666668</v>
      </c>
      <c r="D44" s="41">
        <v>15.333333333333332</v>
      </c>
      <c r="E44" s="97">
        <v>17.833333333333336</v>
      </c>
      <c r="F44" s="41">
        <v>19</v>
      </c>
      <c r="G44" s="41">
        <v>15.166666666666666</v>
      </c>
      <c r="H44" s="41">
        <v>15.499999999999998</v>
      </c>
      <c r="I44" s="41">
        <v>16.000000000000004</v>
      </c>
      <c r="J44" s="41">
        <v>17</v>
      </c>
      <c r="K44" s="41">
        <v>20.5</v>
      </c>
      <c r="L44" s="41">
        <v>22.666666666666668</v>
      </c>
      <c r="M44" s="41">
        <v>22.833333333333332</v>
      </c>
      <c r="N44" s="41">
        <v>22.416666666666668</v>
      </c>
      <c r="O44" s="41">
        <v>17.916666666666668</v>
      </c>
      <c r="P44" s="41">
        <v>10.333333333333334</v>
      </c>
      <c r="Q44" s="97">
        <v>20.000000000000004</v>
      </c>
      <c r="R44" s="41">
        <v>20.916666666666668</v>
      </c>
      <c r="S44" s="41">
        <v>6</v>
      </c>
      <c r="T44" s="98">
        <v>0</v>
      </c>
      <c r="U44" s="41">
        <v>0</v>
      </c>
      <c r="V44" s="99">
        <v>9.1666666666666661</v>
      </c>
      <c r="W44" s="51">
        <v>15.916666666666666</v>
      </c>
      <c r="X44" s="47">
        <v>7.5</v>
      </c>
      <c r="Y44" s="41">
        <v>7.5</v>
      </c>
      <c r="Z44" s="41">
        <v>18.416666666666668</v>
      </c>
      <c r="AA44" s="41">
        <v>19</v>
      </c>
      <c r="AB44" s="47">
        <v>11.583333333333336</v>
      </c>
      <c r="AC44" s="41">
        <v>20.5</v>
      </c>
      <c r="AD44" s="47">
        <v>21.166666666666668</v>
      </c>
      <c r="AE44" s="41">
        <v>17.166666666666668</v>
      </c>
      <c r="AF44" s="16">
        <v>0</v>
      </c>
      <c r="AG44" s="41">
        <v>0</v>
      </c>
      <c r="AH44" s="93">
        <f t="shared" si="3"/>
        <v>450.25000000000011</v>
      </c>
    </row>
    <row r="45" spans="1:34" x14ac:dyDescent="0.35">
      <c r="A45" s="49"/>
      <c r="B45" s="8" t="s">
        <v>52</v>
      </c>
      <c r="C45" s="41">
        <v>20.666666666666668</v>
      </c>
      <c r="D45" s="41">
        <v>15</v>
      </c>
      <c r="E45" s="97">
        <v>17.833333333333336</v>
      </c>
      <c r="F45" s="41">
        <v>17.166666666666668</v>
      </c>
      <c r="G45" s="41">
        <v>12.166666666666666</v>
      </c>
      <c r="H45" s="41">
        <v>12</v>
      </c>
      <c r="I45" s="41">
        <v>21.500000000000004</v>
      </c>
      <c r="J45" s="41">
        <v>15</v>
      </c>
      <c r="K45" s="41">
        <v>10.166666666666666</v>
      </c>
      <c r="L45" s="41">
        <v>21.833333333333336</v>
      </c>
      <c r="M45" s="41">
        <v>20.833333333333336</v>
      </c>
      <c r="N45" s="41">
        <v>15.583333333333334</v>
      </c>
      <c r="O45" s="41">
        <v>17.666666666666668</v>
      </c>
      <c r="P45" s="41">
        <v>0</v>
      </c>
      <c r="Q45" s="97">
        <v>12</v>
      </c>
      <c r="R45" s="41">
        <v>5.0000000000000009</v>
      </c>
      <c r="S45" s="41">
        <v>0</v>
      </c>
      <c r="T45" s="98">
        <v>0</v>
      </c>
      <c r="U45" s="1">
        <v>0</v>
      </c>
      <c r="V45" s="99">
        <v>9.1666666666666661</v>
      </c>
      <c r="W45" s="51">
        <v>13.000000000000002</v>
      </c>
      <c r="X45" s="47">
        <v>0</v>
      </c>
      <c r="Y45" s="41">
        <v>6.9999999999999991</v>
      </c>
      <c r="Z45" s="41">
        <v>8.7500000000000018</v>
      </c>
      <c r="AA45" s="41">
        <v>8.0000000000000018</v>
      </c>
      <c r="AB45" s="47">
        <v>6.5833333333333313</v>
      </c>
      <c r="AC45" s="41">
        <v>20.166666666666668</v>
      </c>
      <c r="AD45" s="47">
        <v>13.666666666666666</v>
      </c>
      <c r="AE45" s="41">
        <v>0</v>
      </c>
      <c r="AF45" s="16">
        <v>0</v>
      </c>
      <c r="AG45" s="41">
        <v>0</v>
      </c>
      <c r="AH45" s="93">
        <f t="shared" si="3"/>
        <v>320.75000000000006</v>
      </c>
    </row>
    <row r="46" spans="1:34" x14ac:dyDescent="0.35">
      <c r="A46" s="49"/>
      <c r="B46" s="8" t="s">
        <v>53</v>
      </c>
      <c r="C46" s="41">
        <v>20.833333333333336</v>
      </c>
      <c r="D46" s="41">
        <v>15.333333333333332</v>
      </c>
      <c r="E46" s="97">
        <v>20.166666666666668</v>
      </c>
      <c r="F46" s="41">
        <v>22</v>
      </c>
      <c r="G46" s="41">
        <v>11.666666666666666</v>
      </c>
      <c r="H46" s="41">
        <v>18.333333333333332</v>
      </c>
      <c r="I46" s="41">
        <v>23.833333333333336</v>
      </c>
      <c r="J46" s="41">
        <v>17.666666666666668</v>
      </c>
      <c r="K46" s="41">
        <v>21.666666666666668</v>
      </c>
      <c r="L46" s="41">
        <v>23.5</v>
      </c>
      <c r="M46" s="41">
        <v>23.750000000000004</v>
      </c>
      <c r="N46" s="41">
        <v>23.166666666666668</v>
      </c>
      <c r="O46" s="41">
        <v>19.75</v>
      </c>
      <c r="P46" s="41">
        <v>2.4999999999999991</v>
      </c>
      <c r="Q46" s="97">
        <v>0</v>
      </c>
      <c r="R46" s="41">
        <v>5.0000000000000009</v>
      </c>
      <c r="S46" s="41">
        <v>9</v>
      </c>
      <c r="T46" s="98">
        <v>19.166666666666668</v>
      </c>
      <c r="U46" s="1">
        <v>13.833333333333332</v>
      </c>
      <c r="V46" s="99">
        <v>9</v>
      </c>
      <c r="W46" s="51">
        <v>15.916666666666666</v>
      </c>
      <c r="X46" s="47">
        <v>15.499999999999998</v>
      </c>
      <c r="Y46" s="41">
        <v>13.000000000000002</v>
      </c>
      <c r="Z46" s="41">
        <v>18.833333333333336</v>
      </c>
      <c r="AA46" s="41">
        <v>19</v>
      </c>
      <c r="AB46" s="47">
        <v>11.916666666666668</v>
      </c>
      <c r="AC46" s="41">
        <v>20.333333333333336</v>
      </c>
      <c r="AD46" s="47">
        <v>20.416666666666668</v>
      </c>
      <c r="AE46" s="41">
        <v>17.833333333333336</v>
      </c>
      <c r="AF46" s="16">
        <v>0</v>
      </c>
      <c r="AG46" s="41">
        <v>0</v>
      </c>
      <c r="AH46" s="93">
        <f t="shared" si="3"/>
        <v>472.91666666666663</v>
      </c>
    </row>
    <row r="47" spans="1:34" x14ac:dyDescent="0.35">
      <c r="A47" s="49"/>
      <c r="B47" s="8" t="s">
        <v>54</v>
      </c>
      <c r="C47" s="19">
        <v>44555</v>
      </c>
      <c r="D47" s="19">
        <v>35351</v>
      </c>
      <c r="E47" s="19">
        <v>48889</v>
      </c>
      <c r="F47" s="19">
        <v>44153</v>
      </c>
      <c r="G47" s="19">
        <v>39561</v>
      </c>
      <c r="H47" s="19">
        <v>57712</v>
      </c>
      <c r="I47" s="19">
        <v>67082</v>
      </c>
      <c r="J47" s="19">
        <v>59869</v>
      </c>
      <c r="K47" s="19">
        <v>52370</v>
      </c>
      <c r="L47" s="19">
        <v>61081</v>
      </c>
      <c r="M47" s="19">
        <v>51387</v>
      </c>
      <c r="N47" s="19">
        <v>48313</v>
      </c>
      <c r="O47" s="19">
        <v>53726</v>
      </c>
      <c r="P47" s="19">
        <v>30650</v>
      </c>
      <c r="Q47" s="19">
        <v>61249</v>
      </c>
      <c r="R47" s="19">
        <v>52572</v>
      </c>
      <c r="S47" s="19">
        <v>27938</v>
      </c>
      <c r="T47" s="20">
        <v>53148</v>
      </c>
      <c r="U47" s="19">
        <v>46621</v>
      </c>
      <c r="V47" s="12">
        <v>55147</v>
      </c>
      <c r="W47" s="21">
        <v>54971</v>
      </c>
      <c r="X47" s="22">
        <v>41647</v>
      </c>
      <c r="Y47" s="19">
        <v>36863</v>
      </c>
      <c r="Z47" s="19">
        <v>46436</v>
      </c>
      <c r="AA47" s="19">
        <v>39558</v>
      </c>
      <c r="AB47" s="22">
        <v>32152</v>
      </c>
      <c r="AC47" s="19">
        <v>59952</v>
      </c>
      <c r="AD47" s="22">
        <v>49822</v>
      </c>
      <c r="AE47" s="19">
        <v>48751</v>
      </c>
      <c r="AF47" s="16">
        <v>56146</v>
      </c>
      <c r="AG47" s="19">
        <v>52582</v>
      </c>
      <c r="AH47" s="23">
        <f t="shared" si="3"/>
        <v>1510254</v>
      </c>
    </row>
    <row r="48" spans="1:34" x14ac:dyDescent="0.35">
      <c r="A48" s="49"/>
      <c r="B48" s="8" t="s">
        <v>55</v>
      </c>
      <c r="C48" s="100">
        <v>3520.083333333333</v>
      </c>
      <c r="D48" s="100">
        <v>2561.4999999999995</v>
      </c>
      <c r="E48" s="26">
        <v>3197.666666666667</v>
      </c>
      <c r="F48" s="100">
        <v>3031.9166666666665</v>
      </c>
      <c r="G48" s="100">
        <v>2726</v>
      </c>
      <c r="H48" s="100">
        <v>4531.7</v>
      </c>
      <c r="I48" s="100">
        <v>5785</v>
      </c>
      <c r="J48" s="100">
        <v>6129.6666666666661</v>
      </c>
      <c r="K48" s="100">
        <v>4537</v>
      </c>
      <c r="L48" s="100">
        <v>4914</v>
      </c>
      <c r="M48" s="100">
        <v>3812.083333333333</v>
      </c>
      <c r="N48" s="100">
        <v>4024.12</v>
      </c>
      <c r="O48" s="100">
        <v>4490</v>
      </c>
      <c r="P48" s="100">
        <v>2248.0839999999998</v>
      </c>
      <c r="Q48" s="26">
        <v>4974</v>
      </c>
      <c r="R48" s="100">
        <v>4136.88</v>
      </c>
      <c r="S48" s="100">
        <v>2435</v>
      </c>
      <c r="T48" s="27">
        <v>4830</v>
      </c>
      <c r="U48" s="100">
        <v>3554</v>
      </c>
      <c r="V48" s="101">
        <v>4104</v>
      </c>
      <c r="W48" s="102">
        <v>3463.76</v>
      </c>
      <c r="X48" s="103">
        <v>2363.75</v>
      </c>
      <c r="Y48" s="19">
        <v>3043</v>
      </c>
      <c r="Z48" s="19">
        <v>3983.75</v>
      </c>
      <c r="AA48" s="19">
        <v>3341</v>
      </c>
      <c r="AB48" s="22">
        <v>2712</v>
      </c>
      <c r="AC48" s="19">
        <v>4648.5</v>
      </c>
      <c r="AD48" s="22">
        <v>4112.916666666667</v>
      </c>
      <c r="AE48" s="19">
        <v>4092.9999999999991</v>
      </c>
      <c r="AF48" s="16">
        <v>4947</v>
      </c>
      <c r="AG48" s="19">
        <v>4626</v>
      </c>
      <c r="AH48" s="23">
        <f t="shared" si="3"/>
        <v>120877.37733333334</v>
      </c>
    </row>
    <row r="49" spans="1:34" ht="15.5" x14ac:dyDescent="0.35">
      <c r="A49" s="49"/>
      <c r="B49" s="8" t="s">
        <v>56</v>
      </c>
      <c r="C49" s="41">
        <v>12.657370800880662</v>
      </c>
      <c r="D49" s="41">
        <v>13.800897911380053</v>
      </c>
      <c r="E49" s="97">
        <v>15.288960700510788</v>
      </c>
      <c r="F49" s="41">
        <v>14.562735343429624</v>
      </c>
      <c r="G49" s="41">
        <v>14.512472487160675</v>
      </c>
      <c r="H49" s="41">
        <v>12.735176644526337</v>
      </c>
      <c r="I49" s="41">
        <v>11.595851339671565</v>
      </c>
      <c r="J49" s="41">
        <v>9.7670890206101486</v>
      </c>
      <c r="K49" s="41">
        <v>11.542869737712145</v>
      </c>
      <c r="L49" s="41">
        <v>12.429995929995931</v>
      </c>
      <c r="M49" s="41">
        <v>13.480030604437644</v>
      </c>
      <c r="N49" s="41">
        <v>12.005854696182023</v>
      </c>
      <c r="O49" s="41">
        <v>11.965701559020044</v>
      </c>
      <c r="P49" s="41">
        <v>13.633832187765227</v>
      </c>
      <c r="Q49" s="97">
        <v>12.313831926015279</v>
      </c>
      <c r="R49" s="41">
        <v>12.708127864477577</v>
      </c>
      <c r="S49" s="41">
        <v>11.473511293634497</v>
      </c>
      <c r="T49" s="104">
        <v>11.003726708074534</v>
      </c>
      <c r="U49" s="41">
        <v>13.117895329206528</v>
      </c>
      <c r="V49" s="105">
        <v>13.437378167641326</v>
      </c>
      <c r="W49" s="51">
        <v>15.870325888629695</v>
      </c>
      <c r="X49" s="47">
        <v>17.619037546271812</v>
      </c>
      <c r="Y49" s="41">
        <v>12.114032205060795</v>
      </c>
      <c r="Z49" s="41">
        <v>11.656353937872607</v>
      </c>
      <c r="AA49" s="41">
        <v>11.840167614486681</v>
      </c>
      <c r="AB49" s="47">
        <v>11.855457227138643</v>
      </c>
      <c r="AC49" s="41">
        <v>12.897063568893191</v>
      </c>
      <c r="AD49" s="47">
        <v>12.113544726978015</v>
      </c>
      <c r="AE49" s="41">
        <v>11.910823356950894</v>
      </c>
      <c r="AF49" s="16">
        <v>11.34950475035375</v>
      </c>
      <c r="AG49" s="41">
        <v>11.366623432771293</v>
      </c>
      <c r="AH49" s="106">
        <f>+AH47/AH48</f>
        <v>12.494099667924628</v>
      </c>
    </row>
    <row r="50" spans="1:34" x14ac:dyDescent="0.35">
      <c r="A50" s="49"/>
      <c r="B50" s="8" t="s">
        <v>57</v>
      </c>
      <c r="C50" s="73">
        <v>11242.200000000026</v>
      </c>
      <c r="D50" s="73">
        <v>7890.3999999999869</v>
      </c>
      <c r="E50" s="19">
        <v>11242.200000000026</v>
      </c>
      <c r="F50" s="73">
        <v>11242.199999999961</v>
      </c>
      <c r="G50" s="73">
        <v>3747.3999999999869</v>
      </c>
      <c r="H50" s="73">
        <v>0</v>
      </c>
      <c r="I50" s="73">
        <v>0</v>
      </c>
      <c r="J50" s="73">
        <v>0</v>
      </c>
      <c r="K50" s="73">
        <v>0</v>
      </c>
      <c r="L50" s="73">
        <v>0</v>
      </c>
      <c r="M50" s="73">
        <v>3747.4000000000533</v>
      </c>
      <c r="N50" s="73">
        <v>11242.199999999961</v>
      </c>
      <c r="O50" s="73">
        <v>12650</v>
      </c>
      <c r="P50" s="73">
        <v>0</v>
      </c>
      <c r="Q50" s="19">
        <v>0</v>
      </c>
      <c r="R50" s="73">
        <v>0</v>
      </c>
      <c r="S50" s="73">
        <v>0</v>
      </c>
      <c r="T50" s="20">
        <v>0</v>
      </c>
      <c r="U50" s="19">
        <v>0</v>
      </c>
      <c r="V50" s="12">
        <v>0</v>
      </c>
      <c r="W50" s="77">
        <v>0</v>
      </c>
      <c r="X50" s="78">
        <v>7615.6599999999944</v>
      </c>
      <c r="Y50" s="41">
        <v>0</v>
      </c>
      <c r="Z50" s="73">
        <v>3372.6599999999949</v>
      </c>
      <c r="AA50" s="73">
        <v>9368.5</v>
      </c>
      <c r="AB50" s="78">
        <v>7475.6599999999944</v>
      </c>
      <c r="AC50" s="73">
        <v>0</v>
      </c>
      <c r="AD50" s="78">
        <v>10513.579999999998</v>
      </c>
      <c r="AE50" s="73">
        <v>10117.979999999983</v>
      </c>
      <c r="AF50" s="16">
        <v>-16863.299999999974</v>
      </c>
      <c r="AG50" s="73">
        <v>0</v>
      </c>
      <c r="AH50" s="23">
        <f>SUM(C50:AG50)</f>
        <v>104604.73999999998</v>
      </c>
    </row>
    <row r="51" spans="1:34" x14ac:dyDescent="0.35">
      <c r="A51" s="49"/>
      <c r="B51" s="8" t="s">
        <v>58</v>
      </c>
      <c r="C51" s="73">
        <v>966.91666666666663</v>
      </c>
      <c r="D51" s="73">
        <v>661.85</v>
      </c>
      <c r="E51" s="26">
        <v>806.33333333333337</v>
      </c>
      <c r="F51" s="73">
        <v>924</v>
      </c>
      <c r="G51" s="73">
        <v>266</v>
      </c>
      <c r="H51" s="73">
        <v>0</v>
      </c>
      <c r="I51" s="73">
        <v>0</v>
      </c>
      <c r="J51" s="73">
        <v>0</v>
      </c>
      <c r="K51" s="73">
        <v>0</v>
      </c>
      <c r="L51" s="73">
        <v>0</v>
      </c>
      <c r="M51" s="73">
        <v>300</v>
      </c>
      <c r="N51" s="73">
        <v>973</v>
      </c>
      <c r="O51" s="73">
        <v>1127.0000000000002</v>
      </c>
      <c r="P51" s="73">
        <v>0</v>
      </c>
      <c r="Q51" s="26">
        <v>0</v>
      </c>
      <c r="R51" s="73">
        <v>0</v>
      </c>
      <c r="S51" s="73">
        <v>0</v>
      </c>
      <c r="T51" s="27">
        <v>0</v>
      </c>
      <c r="U51" s="73">
        <v>0</v>
      </c>
      <c r="V51" s="101">
        <v>0</v>
      </c>
      <c r="W51" s="77">
        <v>0</v>
      </c>
      <c r="X51" s="78">
        <v>510.00000000000006</v>
      </c>
      <c r="Y51" s="41">
        <v>0</v>
      </c>
      <c r="Z51" s="73">
        <v>306</v>
      </c>
      <c r="AA51" s="73">
        <v>864</v>
      </c>
      <c r="AB51" s="78">
        <v>0</v>
      </c>
      <c r="AC51" s="73">
        <v>0</v>
      </c>
      <c r="AD51" s="78">
        <v>935.08333333333326</v>
      </c>
      <c r="AE51" s="73">
        <v>901.33333333333348</v>
      </c>
      <c r="AF51" s="16">
        <v>0</v>
      </c>
      <c r="AG51" s="73">
        <v>0</v>
      </c>
      <c r="AH51" s="23">
        <f>SUM(C51:AG51)</f>
        <v>9541.5166666666682</v>
      </c>
    </row>
    <row r="52" spans="1:34" ht="15.5" x14ac:dyDescent="0.35">
      <c r="A52" s="49"/>
      <c r="B52" s="8" t="s">
        <v>59</v>
      </c>
      <c r="C52" s="41">
        <v>11.62685512367494</v>
      </c>
      <c r="D52" s="41">
        <v>11.921734531993634</v>
      </c>
      <c r="E52" s="97">
        <v>13.942372881355965</v>
      </c>
      <c r="F52" s="41">
        <v>12.166883116883074</v>
      </c>
      <c r="G52" s="41">
        <v>14.087969924811981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12.491333333333511</v>
      </c>
      <c r="N52" s="41">
        <v>11.554162384378172</v>
      </c>
      <c r="O52" s="41">
        <v>11.224489795918364</v>
      </c>
      <c r="P52" s="41">
        <v>0</v>
      </c>
      <c r="Q52" s="97">
        <v>0</v>
      </c>
      <c r="R52" s="87">
        <v>0</v>
      </c>
      <c r="S52" s="87">
        <v>0</v>
      </c>
      <c r="T52" s="104">
        <v>0</v>
      </c>
      <c r="U52" s="87" t="e">
        <v>#DIV/0!</v>
      </c>
      <c r="V52" s="105" t="e">
        <v>#DIV/0!</v>
      </c>
      <c r="W52" s="107" t="e">
        <v>#DIV/0!</v>
      </c>
      <c r="X52" s="78">
        <v>14.932666666666654</v>
      </c>
      <c r="Y52" s="41" t="e">
        <v>#DIV/0!</v>
      </c>
      <c r="Z52" s="41">
        <v>11.021764705882337</v>
      </c>
      <c r="AA52" s="41">
        <v>10.843171296296296</v>
      </c>
      <c r="AB52" s="47" t="e">
        <v>#DIV/0!</v>
      </c>
      <c r="AC52" s="41" t="e">
        <v>#DIV/0!</v>
      </c>
      <c r="AD52" s="47">
        <v>11.243468496568932</v>
      </c>
      <c r="AE52" s="41">
        <v>11.225569526627199</v>
      </c>
      <c r="AF52" s="16" t="e">
        <v>#DIV/0!</v>
      </c>
      <c r="AG52" s="41" t="e">
        <v>#DIV/0!</v>
      </c>
      <c r="AH52" s="93">
        <f>+AH50/AH51</f>
        <v>10.963114529311374</v>
      </c>
    </row>
    <row r="53" spans="1:34" x14ac:dyDescent="0.35">
      <c r="A53" s="49"/>
      <c r="B53" s="8" t="s">
        <v>60</v>
      </c>
      <c r="C53" s="73">
        <v>45036.130000000026</v>
      </c>
      <c r="D53" s="73">
        <v>29579.820000000003</v>
      </c>
      <c r="E53" s="19">
        <v>30196.980000000003</v>
      </c>
      <c r="F53" s="73">
        <v>44571.839999999997</v>
      </c>
      <c r="G53" s="73">
        <v>21742.059999999983</v>
      </c>
      <c r="H53" s="73">
        <v>22086.890000000007</v>
      </c>
      <c r="I53" s="73">
        <v>40664.409999999982</v>
      </c>
      <c r="J53" s="73">
        <v>24560.910000000011</v>
      </c>
      <c r="K53" s="73">
        <v>41817.279999999992</v>
      </c>
      <c r="L53" s="73">
        <v>53857.640000000007</v>
      </c>
      <c r="M53" s="73">
        <v>53393.35</v>
      </c>
      <c r="N53" s="73">
        <v>45515.64999999998</v>
      </c>
      <c r="O53" s="11">
        <v>30426</v>
      </c>
      <c r="P53" s="73">
        <v>11526.830000000002</v>
      </c>
      <c r="Q53" s="19">
        <v>17803.989999999991</v>
      </c>
      <c r="R53" s="73">
        <v>26464.530000000002</v>
      </c>
      <c r="S53" s="73">
        <v>6500.0600000000059</v>
      </c>
      <c r="T53" s="20">
        <v>4642.8999999999833</v>
      </c>
      <c r="U53" s="73">
        <v>499.81000000000495</v>
      </c>
      <c r="V53" s="12">
        <v>6500.0600000000059</v>
      </c>
      <c r="W53" s="77">
        <v>18178.489999999991</v>
      </c>
      <c r="X53" s="78">
        <v>11142.96</v>
      </c>
      <c r="Y53" s="73">
        <v>11142.96</v>
      </c>
      <c r="Z53" s="73">
        <v>19964.469999999998</v>
      </c>
      <c r="AA53" s="73">
        <v>21821.630000000008</v>
      </c>
      <c r="AB53" s="78">
        <v>12609.669999999998</v>
      </c>
      <c r="AC53" s="73">
        <v>23040</v>
      </c>
      <c r="AD53" s="78">
        <v>23785.679999999997</v>
      </c>
      <c r="AE53" s="73">
        <v>18047.070000000003</v>
      </c>
      <c r="AF53" s="16">
        <v>-4997.4000000000051</v>
      </c>
      <c r="AG53" s="73">
        <v>0</v>
      </c>
      <c r="AH53" s="23">
        <f>SUM(C53:AG53)</f>
        <v>712122.67</v>
      </c>
    </row>
    <row r="54" spans="1:34" x14ac:dyDescent="0.35">
      <c r="A54" s="49"/>
      <c r="B54" s="8" t="s">
        <v>61</v>
      </c>
      <c r="C54" s="73">
        <v>3216</v>
      </c>
      <c r="D54" s="73">
        <v>2160.65</v>
      </c>
      <c r="E54" s="26">
        <v>2118</v>
      </c>
      <c r="F54" s="73">
        <v>3206.0833333333335</v>
      </c>
      <c r="G54" s="73">
        <v>1518</v>
      </c>
      <c r="H54" s="73">
        <v>1455.3</v>
      </c>
      <c r="I54" s="73">
        <v>3429</v>
      </c>
      <c r="J54" s="73">
        <v>2273.3333333333335</v>
      </c>
      <c r="K54" s="73">
        <v>3830</v>
      </c>
      <c r="L54" s="73">
        <v>4758</v>
      </c>
      <c r="M54" s="73">
        <v>4132.916666666667</v>
      </c>
      <c r="N54" s="73">
        <v>3974.88</v>
      </c>
      <c r="O54" s="73">
        <v>2766.0000000000005</v>
      </c>
      <c r="P54" s="73">
        <v>911.91599999999994</v>
      </c>
      <c r="Q54" s="26">
        <v>1575</v>
      </c>
      <c r="R54" s="73">
        <v>1776.1200000000001</v>
      </c>
      <c r="S54" s="73">
        <v>588</v>
      </c>
      <c r="T54" s="27">
        <v>445</v>
      </c>
      <c r="U54" s="73">
        <v>44</v>
      </c>
      <c r="V54" s="101">
        <v>473</v>
      </c>
      <c r="W54" s="77">
        <v>1146.24</v>
      </c>
      <c r="X54" s="78">
        <v>670.25</v>
      </c>
      <c r="Y54" s="73">
        <v>988</v>
      </c>
      <c r="Z54" s="73">
        <v>1908.2500000000002</v>
      </c>
      <c r="AA54" s="73">
        <v>1924</v>
      </c>
      <c r="AB54" s="78">
        <v>1120</v>
      </c>
      <c r="AC54" s="73">
        <v>1683.5</v>
      </c>
      <c r="AD54" s="78">
        <v>2020</v>
      </c>
      <c r="AE54" s="73">
        <v>1617.666666666667</v>
      </c>
      <c r="AF54" s="16">
        <v>0</v>
      </c>
      <c r="AG54" s="73">
        <v>0</v>
      </c>
      <c r="AH54" s="23">
        <f>SUM(C54:AG54)</f>
        <v>57729.105999999992</v>
      </c>
    </row>
    <row r="55" spans="1:34" ht="15.5" x14ac:dyDescent="0.35">
      <c r="A55" s="49"/>
      <c r="B55" s="8" t="s">
        <v>62</v>
      </c>
      <c r="C55" s="47">
        <v>14.003771766169162</v>
      </c>
      <c r="D55" s="47">
        <v>13.690241362552936</v>
      </c>
      <c r="E55" s="41">
        <v>14.257308781869689</v>
      </c>
      <c r="F55" s="47">
        <v>13.902271203181451</v>
      </c>
      <c r="G55" s="47">
        <v>14.322832674571794</v>
      </c>
      <c r="H55" s="47">
        <v>15.176863876863882</v>
      </c>
      <c r="I55" s="47">
        <v>11.858970545348493</v>
      </c>
      <c r="J55" s="47">
        <v>10.803919354838714</v>
      </c>
      <c r="K55" s="47">
        <v>10.918349869451696</v>
      </c>
      <c r="L55" s="47">
        <v>11.319386296763348</v>
      </c>
      <c r="M55" s="47">
        <v>12.919048291158381</v>
      </c>
      <c r="N55" s="47">
        <v>11.450823672664326</v>
      </c>
      <c r="O55" s="47">
        <v>10.999999999999998</v>
      </c>
      <c r="P55" s="47">
        <v>12.640232214370625</v>
      </c>
      <c r="Q55" s="41">
        <v>11.304120634920629</v>
      </c>
      <c r="R55" s="47">
        <v>14.900192554557124</v>
      </c>
      <c r="S55" s="47">
        <v>11.05452380952382</v>
      </c>
      <c r="T55" s="104">
        <v>10.433483146067378</v>
      </c>
      <c r="U55" s="41">
        <v>11.359318181818294</v>
      </c>
      <c r="V55" s="105">
        <v>13.74219873150107</v>
      </c>
      <c r="W55" s="51">
        <v>15.859235413176988</v>
      </c>
      <c r="X55" s="47">
        <v>16.625080193957476</v>
      </c>
      <c r="Y55" s="87">
        <v>11.2782995951417</v>
      </c>
      <c r="Z55" s="87">
        <v>10.46218786846587</v>
      </c>
      <c r="AA55" s="87">
        <v>11.341803534303539</v>
      </c>
      <c r="AB55" s="108">
        <v>11.258633928571427</v>
      </c>
      <c r="AC55" s="87">
        <v>13.685773685773686</v>
      </c>
      <c r="AD55" s="108">
        <v>11.775089108910889</v>
      </c>
      <c r="AE55" s="87">
        <v>11.156235318359778</v>
      </c>
      <c r="AF55" s="16" t="e">
        <v>#DIV/0!</v>
      </c>
      <c r="AG55" s="87" t="e">
        <v>#DIV/0!</v>
      </c>
      <c r="AH55" s="93">
        <f>+AH53/AH54</f>
        <v>12.335591512537889</v>
      </c>
    </row>
    <row r="56" spans="1:34" x14ac:dyDescent="0.35">
      <c r="A56" s="49"/>
      <c r="B56" s="8" t="s">
        <v>63</v>
      </c>
      <c r="C56" s="19">
        <v>131255.71679864993</v>
      </c>
      <c r="D56" s="19">
        <v>134837.35215453192</v>
      </c>
      <c r="E56" s="26">
        <v>146130.71806599153</v>
      </c>
      <c r="F56" s="19">
        <v>139967.16294331185</v>
      </c>
      <c r="G56" s="19">
        <v>141165.86829268283</v>
      </c>
      <c r="H56" s="19">
        <v>128115.22056121597</v>
      </c>
      <c r="I56" s="19">
        <v>146183.98865856303</v>
      </c>
      <c r="J56" s="19">
        <v>102184.75038676664</v>
      </c>
      <c r="K56" s="19">
        <v>110643.23102665233</v>
      </c>
      <c r="L56" s="19">
        <v>117181.61652191894</v>
      </c>
      <c r="M56" s="19">
        <v>130989.10291085512</v>
      </c>
      <c r="N56" s="19">
        <v>117130.46104547473</v>
      </c>
      <c r="O56" s="19">
        <v>114191.93343671717</v>
      </c>
      <c r="P56" s="19">
        <v>128231.80585443038</v>
      </c>
      <c r="Q56" s="26">
        <v>115218.97869903801</v>
      </c>
      <c r="R56" s="19">
        <v>129485.79528158295</v>
      </c>
      <c r="S56" s="19">
        <v>108199.1223949719</v>
      </c>
      <c r="T56" s="27">
        <v>102513.94104265398</v>
      </c>
      <c r="U56" s="19">
        <v>121361.06406336855</v>
      </c>
      <c r="V56" s="101">
        <v>126469.48306751146</v>
      </c>
      <c r="W56" s="21">
        <v>151937.03524945767</v>
      </c>
      <c r="X56" s="22">
        <v>165544.63290067721</v>
      </c>
      <c r="Y56" s="19">
        <v>113781.08831555446</v>
      </c>
      <c r="Z56" s="19">
        <v>109292.79227170054</v>
      </c>
      <c r="AA56" s="19">
        <v>114097.22148800785</v>
      </c>
      <c r="AB56" s="22">
        <v>133811.77831419621</v>
      </c>
      <c r="AC56" s="19">
        <v>125996.18698673404</v>
      </c>
      <c r="AD56" s="22">
        <v>117089.87973967176</v>
      </c>
      <c r="AE56" s="19">
        <v>113851.68957955229</v>
      </c>
      <c r="AF56" s="16">
        <v>56862.75884374373</v>
      </c>
      <c r="AG56" s="19">
        <v>105175.36662343277</v>
      </c>
      <c r="AH56" s="23">
        <f>SUM(C56:AG56)</f>
        <v>3798897.7435196177</v>
      </c>
    </row>
    <row r="57" spans="1:34" x14ac:dyDescent="0.35">
      <c r="A57" s="49"/>
      <c r="B57" s="8" t="s">
        <v>64</v>
      </c>
      <c r="C57" s="19">
        <v>35917</v>
      </c>
      <c r="D57" s="19">
        <v>28419</v>
      </c>
      <c r="E57" s="19">
        <v>30846</v>
      </c>
      <c r="F57" s="19">
        <v>36026</v>
      </c>
      <c r="G57" s="19">
        <v>27057</v>
      </c>
      <c r="H57" s="19">
        <v>28359</v>
      </c>
      <c r="I57" s="19">
        <v>37240</v>
      </c>
      <c r="J57" s="19">
        <v>32354</v>
      </c>
      <c r="K57" s="19">
        <v>32138</v>
      </c>
      <c r="L57" s="19">
        <v>38855</v>
      </c>
      <c r="M57" s="19">
        <v>40411</v>
      </c>
      <c r="N57" s="19">
        <v>38191</v>
      </c>
      <c r="O57" s="19">
        <v>34636</v>
      </c>
      <c r="P57" s="19">
        <v>17636</v>
      </c>
      <c r="Q57" s="19">
        <v>25548</v>
      </c>
      <c r="R57" s="19">
        <v>26856</v>
      </c>
      <c r="S57" s="19">
        <v>14187</v>
      </c>
      <c r="T57" s="20">
        <v>22687</v>
      </c>
      <c r="U57" s="19">
        <v>17793</v>
      </c>
      <c r="V57" s="12">
        <v>22055</v>
      </c>
      <c r="W57" s="21">
        <v>25429</v>
      </c>
      <c r="X57" s="22">
        <v>20749</v>
      </c>
      <c r="Y57" s="19">
        <v>19676</v>
      </c>
      <c r="Z57" s="19">
        <v>26099</v>
      </c>
      <c r="AA57" s="19">
        <v>25984</v>
      </c>
      <c r="AB57" s="22">
        <v>18424</v>
      </c>
      <c r="AC57" s="19">
        <v>29942</v>
      </c>
      <c r="AD57" s="22">
        <v>31935</v>
      </c>
      <c r="AE57" s="19">
        <v>27407</v>
      </c>
      <c r="AF57" s="16">
        <v>19842</v>
      </c>
      <c r="AG57" s="19">
        <v>19222</v>
      </c>
      <c r="AH57" s="23">
        <f>SUM(C57:AG57)</f>
        <v>851920</v>
      </c>
    </row>
    <row r="58" spans="1:34" ht="15.5" x14ac:dyDescent="0.35">
      <c r="A58" s="49"/>
      <c r="B58" s="8" t="s">
        <v>65</v>
      </c>
      <c r="C58" s="41">
        <v>4.6627288069583281</v>
      </c>
      <c r="D58" s="41">
        <v>5.2784175334323926</v>
      </c>
      <c r="E58" s="97">
        <v>5.0385494936295325</v>
      </c>
      <c r="F58" s="41">
        <v>5.0301591734152469</v>
      </c>
      <c r="G58" s="41">
        <v>5.9993348115299332</v>
      </c>
      <c r="H58" s="41">
        <v>4.7367629864706862</v>
      </c>
      <c r="I58" s="41">
        <v>4.0416757108747561</v>
      </c>
      <c r="J58" s="41">
        <v>3.8502915625371892</v>
      </c>
      <c r="K58" s="41">
        <v>3.8410421895542011</v>
      </c>
      <c r="L58" s="41">
        <v>4.0172663358147229</v>
      </c>
      <c r="M58" s="41">
        <v>4.9012734990903581</v>
      </c>
      <c r="N58" s="41">
        <v>4.2566874721355328</v>
      </c>
      <c r="O58" s="41">
        <v>4.1316950972205655</v>
      </c>
      <c r="P58" s="41">
        <v>5.5810126582278485</v>
      </c>
      <c r="Q58" s="97">
        <v>3.9010535959688504</v>
      </c>
      <c r="R58" s="41">
        <v>4.5418569254185694</v>
      </c>
      <c r="S58" s="41">
        <v>4.6930201786304995</v>
      </c>
      <c r="T58" s="104">
        <v>4.3008530805687206</v>
      </c>
      <c r="U58" s="41">
        <v>4.945247359644247</v>
      </c>
      <c r="V58" s="105">
        <v>4.8186585099410095</v>
      </c>
      <c r="W58" s="51">
        <v>5.5160520607375272</v>
      </c>
      <c r="X58" s="47">
        <v>5.854683972911964</v>
      </c>
      <c r="Y58" s="41">
        <v>4.8811709253287026</v>
      </c>
      <c r="Z58" s="41">
        <v>4.2108744756373024</v>
      </c>
      <c r="AA58" s="41">
        <v>4.239517050089737</v>
      </c>
      <c r="AB58" s="47">
        <v>4.8079331941544883</v>
      </c>
      <c r="AC58" s="41">
        <v>4.7286797220467465</v>
      </c>
      <c r="AD58" s="47">
        <v>4.518251273344652</v>
      </c>
      <c r="AE58" s="41">
        <v>4.1450393224440409</v>
      </c>
      <c r="AF58" s="16">
        <v>4.010915706488781</v>
      </c>
      <c r="AG58" s="41">
        <v>4.1552096843925641</v>
      </c>
      <c r="AH58" s="93">
        <f>AH57/AH31</f>
        <v>4.5279248251376574</v>
      </c>
    </row>
    <row r="59" spans="1:34" x14ac:dyDescent="0.35">
      <c r="A59" s="49" t="s">
        <v>9</v>
      </c>
      <c r="B59" s="109" t="s">
        <v>66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73">
        <v>0</v>
      </c>
      <c r="L59" s="73">
        <v>0</v>
      </c>
      <c r="M59" s="73">
        <v>0</v>
      </c>
      <c r="N59" s="73">
        <v>0</v>
      </c>
      <c r="O59" s="73">
        <v>0</v>
      </c>
      <c r="P59" s="19">
        <v>0</v>
      </c>
      <c r="Q59" s="19">
        <v>0</v>
      </c>
      <c r="R59" s="19">
        <v>0</v>
      </c>
      <c r="S59" s="19">
        <v>0</v>
      </c>
      <c r="T59" s="20">
        <v>0</v>
      </c>
      <c r="U59" s="19">
        <v>0</v>
      </c>
      <c r="V59" s="12">
        <v>0</v>
      </c>
      <c r="W59" s="21">
        <v>0</v>
      </c>
      <c r="X59" s="22">
        <v>0</v>
      </c>
      <c r="Y59" s="19">
        <v>0</v>
      </c>
      <c r="Z59" s="19">
        <v>0</v>
      </c>
      <c r="AA59" s="19">
        <v>0</v>
      </c>
      <c r="AB59" s="22">
        <v>0</v>
      </c>
      <c r="AC59" s="19">
        <v>0</v>
      </c>
      <c r="AD59" s="78">
        <v>0</v>
      </c>
      <c r="AE59" s="19">
        <v>0</v>
      </c>
      <c r="AF59" s="16">
        <v>0</v>
      </c>
      <c r="AG59" s="19">
        <v>0</v>
      </c>
      <c r="AH59" s="110">
        <f>SUM(C59:AG59)</f>
        <v>0</v>
      </c>
    </row>
    <row r="60" spans="1:34" x14ac:dyDescent="0.35">
      <c r="A60" s="49"/>
      <c r="B60" s="109" t="s">
        <v>67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73">
        <v>0</v>
      </c>
      <c r="L60" s="73">
        <v>0</v>
      </c>
      <c r="M60" s="73">
        <v>0</v>
      </c>
      <c r="N60" s="73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20">
        <v>0</v>
      </c>
      <c r="U60" s="19">
        <v>0</v>
      </c>
      <c r="V60" s="16">
        <v>0</v>
      </c>
      <c r="W60" s="21">
        <v>0</v>
      </c>
      <c r="X60" s="15">
        <v>0</v>
      </c>
      <c r="Y60" s="19">
        <v>0</v>
      </c>
      <c r="Z60" s="19">
        <v>0</v>
      </c>
      <c r="AA60" s="19">
        <v>0</v>
      </c>
      <c r="AB60" s="22">
        <v>0</v>
      </c>
      <c r="AC60" s="19">
        <v>0</v>
      </c>
      <c r="AD60" s="78">
        <v>0</v>
      </c>
      <c r="AE60" s="19">
        <v>0</v>
      </c>
      <c r="AF60" s="16">
        <v>0</v>
      </c>
      <c r="AG60" s="19">
        <v>0</v>
      </c>
      <c r="AH60" s="110">
        <f>(0.84*AH6)-AH59</f>
        <v>123086.87999999999</v>
      </c>
    </row>
  </sheetData>
  <mergeCells count="6">
    <mergeCell ref="AH2:AH3"/>
    <mergeCell ref="A6:A15"/>
    <mergeCell ref="A16:A20"/>
    <mergeCell ref="A22:A34"/>
    <mergeCell ref="A35:A58"/>
    <mergeCell ref="A59:A60"/>
  </mergeCells>
  <conditionalFormatting sqref="C2:AG2">
    <cfRule type="expression" dxfId="0" priority="1">
      <formula>OR(+C$6="dim")</formula>
    </cfRule>
  </conditionalFormatting>
  <dataValidations count="1">
    <dataValidation type="list" showInputMessage="1" showErrorMessage="1" sqref="AF3 V3 Q3 T3">
      <formula1>"G10 MC,G10 MP,MC&amp;MP,TBT,BG10,BG11,BGAD,BG22, ,Arrêt,MC&amp;BG22:"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2026-07-09T09:59:53Z</dcterms:created>
  <dcterms:modified xsi:type="dcterms:W3CDTF">2026-07-09T10:31:43Z</dcterms:modified>
</cp:coreProperties>
</file>