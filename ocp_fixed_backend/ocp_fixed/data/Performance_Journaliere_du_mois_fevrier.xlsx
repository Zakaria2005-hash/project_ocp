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9200" windowHeight="81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59" i="1" l="1"/>
  <c r="AE57" i="1"/>
  <c r="AE56" i="1"/>
  <c r="AE54" i="1"/>
  <c r="AE53" i="1"/>
  <c r="AE55" i="1" s="1"/>
  <c r="AE51" i="1"/>
  <c r="AE50" i="1"/>
  <c r="AE52" i="1" s="1"/>
  <c r="AE48" i="1"/>
  <c r="AE49" i="1" s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22" i="1" s="1"/>
  <c r="AE34" i="1"/>
  <c r="AE33" i="1"/>
  <c r="AE32" i="1"/>
  <c r="AE31" i="1"/>
  <c r="AE30" i="1"/>
  <c r="AE29" i="1"/>
  <c r="AE28" i="1"/>
  <c r="AE27" i="1"/>
  <c r="AE26" i="1"/>
  <c r="AE21" i="1"/>
  <c r="AE20" i="1"/>
  <c r="AE18" i="1"/>
  <c r="AE17" i="1"/>
  <c r="AE16" i="1"/>
  <c r="AE19" i="1" s="1"/>
  <c r="AE15" i="1"/>
  <c r="AE13" i="1"/>
  <c r="AE14" i="1" s="1"/>
  <c r="AE11" i="1"/>
  <c r="AE10" i="1"/>
  <c r="AE8" i="1"/>
  <c r="AE7" i="1"/>
  <c r="AE6" i="1"/>
  <c r="AE5" i="1"/>
  <c r="AE4" i="1"/>
  <c r="AE12" i="1" s="1"/>
  <c r="D2" i="1"/>
  <c r="AE9" i="1" l="1"/>
  <c r="AE25" i="1"/>
  <c r="AE23" i="1"/>
  <c r="AE58" i="1"/>
  <c r="AE60" i="1"/>
  <c r="E2" i="1"/>
  <c r="F2" i="1" l="1"/>
  <c r="G2" i="1" l="1"/>
  <c r="H2" i="1" l="1"/>
  <c r="I2" i="1" l="1"/>
  <c r="J2" i="1" l="1"/>
  <c r="K2" i="1" l="1"/>
  <c r="L2" i="1" l="1"/>
  <c r="M2" i="1" l="1"/>
  <c r="N2" i="1" l="1"/>
  <c r="O2" i="1" l="1"/>
  <c r="P2" i="1" l="1"/>
  <c r="Q2" i="1" l="1"/>
  <c r="R2" i="1" l="1"/>
  <c r="S2" i="1" l="1"/>
  <c r="T2" i="1" l="1"/>
  <c r="U2" i="1" l="1"/>
  <c r="V2" i="1" l="1"/>
  <c r="W2" i="1" l="1"/>
  <c r="X2" i="1" l="1"/>
  <c r="Y2" i="1" l="1"/>
  <c r="Z2" i="1" l="1"/>
  <c r="AA2" i="1" l="1"/>
  <c r="AB2" i="1" l="1"/>
  <c r="AC2" i="1" l="1"/>
  <c r="AD2" i="1" l="1"/>
</calcChain>
</file>

<file path=xl/sharedStrings.xml><?xml version="1.0" encoding="utf-8"?>
<sst xmlns="http://schemas.openxmlformats.org/spreadsheetml/2006/main" count="122" uniqueCount="80">
  <si>
    <t>TOTAL</t>
  </si>
  <si>
    <t>Qualité</t>
  </si>
  <si>
    <t>Qualité traitée</t>
  </si>
  <si>
    <t>MC</t>
  </si>
  <si>
    <t>MC/MP</t>
  </si>
  <si>
    <t>MC/MP/BG10</t>
  </si>
  <si>
    <t>MP</t>
  </si>
  <si>
    <t>MP/MC</t>
  </si>
  <si>
    <t>BG10/MC</t>
  </si>
  <si>
    <t>BG10/MC/BG10</t>
  </si>
  <si>
    <t>Produit G10</t>
  </si>
  <si>
    <t>Alimentation par camions (T)</t>
  </si>
  <si>
    <t>stock LF</t>
  </si>
  <si>
    <t>quantité d'eau drainage(m3)</t>
  </si>
  <si>
    <t>Roue pelle TAIM</t>
  </si>
  <si>
    <t>Tonnage G10 + BG10 (T)</t>
  </si>
  <si>
    <t>Tonnage G10 (T)</t>
  </si>
  <si>
    <t>Tonnage BG10 (T)</t>
  </si>
  <si>
    <t>Débit horaire (T/H)</t>
  </si>
  <si>
    <t>Alimentation par chargeuse</t>
  </si>
  <si>
    <t>G10 (T)</t>
  </si>
  <si>
    <t>% G10 Chargeuse</t>
  </si>
  <si>
    <t xml:space="preserve"> BT (T)</t>
  </si>
  <si>
    <t>% BT Chargeuse</t>
  </si>
  <si>
    <t>HM</t>
  </si>
  <si>
    <t>Liaison US-UC</t>
  </si>
  <si>
    <t>Tonnage transporté (T)</t>
  </si>
  <si>
    <t>Tonnage transporté G10 (T)</t>
  </si>
  <si>
    <t>Tonnage transporté MT (T)</t>
  </si>
  <si>
    <t>17,,41</t>
  </si>
  <si>
    <t>Débit (T/H)</t>
  </si>
  <si>
    <t>Stockage Local  (T)</t>
  </si>
  <si>
    <t>Production</t>
  </si>
  <si>
    <t>Débit horaire par four (T/H)</t>
  </si>
  <si>
    <t>Débit horaire par four  en MC(T/H)</t>
  </si>
  <si>
    <t>Débit horaire par four en MP (T/H)</t>
  </si>
  <si>
    <t>Débit horaire par four en BG10 (T/H)</t>
  </si>
  <si>
    <t>Tonnage dosage</t>
  </si>
  <si>
    <t>Humidité entrée %</t>
  </si>
  <si>
    <t>Humidité sortie MC %</t>
  </si>
  <si>
    <t>Humidité sortie MP %</t>
  </si>
  <si>
    <t>Humidité sortie BG10 %</t>
  </si>
  <si>
    <t>Production totale</t>
  </si>
  <si>
    <t>Production MC</t>
  </si>
  <si>
    <t>Production MP</t>
  </si>
  <si>
    <t>Production BG10</t>
  </si>
  <si>
    <t>Performance</t>
  </si>
  <si>
    <t>HM en MC</t>
  </si>
  <si>
    <t>HM en MP</t>
  </si>
  <si>
    <t>HM en BG10</t>
  </si>
  <si>
    <t>HM Four N°1</t>
  </si>
  <si>
    <t>HM Four N°2</t>
  </si>
  <si>
    <t>HM Four N°3</t>
  </si>
  <si>
    <t>HM Four N°4</t>
  </si>
  <si>
    <t>HM Four N°5</t>
  </si>
  <si>
    <t>HM Four N°6</t>
  </si>
  <si>
    <t>HM Four N°7</t>
  </si>
  <si>
    <t>HM Four N°8</t>
  </si>
  <si>
    <t>Consommation GAZ (Nm3)</t>
  </si>
  <si>
    <t>Tonnage traité gaz</t>
  </si>
  <si>
    <t>Cs Gas (Nm3/T)</t>
  </si>
  <si>
    <t>Consommation gazoline (kg)</t>
  </si>
  <si>
    <t>Tonnage traité gazoline</t>
  </si>
  <si>
    <t>Cs gazoline (kg/T)</t>
  </si>
  <si>
    <t>Consommation Fuel (kg)</t>
  </si>
  <si>
    <t>Tonnage traité fuel</t>
  </si>
  <si>
    <t>Cs Fuel (kg/T)</t>
  </si>
  <si>
    <t xml:space="preserve">Consommation d'énergie (kcal/T) </t>
  </si>
  <si>
    <t>Consommation Electricité (kwh)</t>
  </si>
  <si>
    <t>Cs électricité (Kwh/T)</t>
  </si>
  <si>
    <t>Production UL</t>
  </si>
  <si>
    <t>Ecart  reprise RP3 production UL</t>
  </si>
  <si>
    <t>mar.</t>
  </si>
  <si>
    <t>mer.</t>
  </si>
  <si>
    <t>jeu.</t>
  </si>
  <si>
    <t>ven.</t>
  </si>
  <si>
    <t>sam.</t>
  </si>
  <si>
    <t>dim.</t>
  </si>
  <si>
    <t>lun.</t>
  </si>
  <si>
    <t>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</si>
</sst>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€_-;\-* #,##0.00\ _€_-;_-* &quot;-&quot;??\ _€_-;_-@_-"/>
    <numFmt numFmtId="164" formatCode="0.0"/>
    <numFmt numFmtId="166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Times New Roman"/>
      <family val="1"/>
    </font>
    <font>
      <b/>
      <sz val="9"/>
      <color theme="1"/>
      <name val="Calibri"/>
      <family val="2"/>
      <scheme val="minor"/>
    </font>
    <font>
      <b/>
      <sz val="9"/>
      <color rgb="FF0070C0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2" fontId="0" fillId="2" borderId="1" xfId="0" applyNumberForma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4" fontId="0" fillId="2" borderId="1" xfId="0" applyNumberFormat="1" applyFill="1" applyBorder="1" applyAlignment="1">
      <alignment horizontal="center"/>
    </xf>
    <xf numFmtId="1" fontId="4" fillId="3" borderId="2" xfId="0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Protection="1">
      <protection locked="0"/>
    </xf>
    <xf numFmtId="1" fontId="2" fillId="0" borderId="1" xfId="0" applyNumberFormat="1" applyFont="1" applyBorder="1" applyAlignment="1">
      <alignment horizontal="center"/>
    </xf>
    <xf numFmtId="1" fontId="0" fillId="4" borderId="1" xfId="0" applyNumberForma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" fontId="2" fillId="4" borderId="3" xfId="0" applyNumberFormat="1" applyFont="1" applyFill="1" applyBorder="1" applyAlignment="1" applyProtection="1">
      <alignment horizontal="center"/>
      <protection locked="0"/>
    </xf>
    <xf numFmtId="1" fontId="0" fillId="4" borderId="3" xfId="0" applyNumberFormat="1" applyFill="1" applyBorder="1" applyAlignment="1" applyProtection="1">
      <alignment horizontal="right"/>
      <protection locked="0"/>
    </xf>
    <xf numFmtId="1" fontId="2" fillId="0" borderId="1" xfId="0" applyNumberFormat="1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center"/>
    </xf>
    <xf numFmtId="1" fontId="2" fillId="4" borderId="1" xfId="0" applyNumberFormat="1" applyFont="1" applyFill="1" applyBorder="1" applyAlignment="1" applyProtection="1">
      <alignment horizontal="center"/>
      <protection locked="0"/>
    </xf>
    <xf numFmtId="1" fontId="2" fillId="4" borderId="1" xfId="0" applyNumberFormat="1" applyFont="1" applyFill="1" applyBorder="1" applyAlignment="1" applyProtection="1">
      <alignment horizontal="center" vertical="center"/>
      <protection locked="0"/>
    </xf>
    <xf numFmtId="1" fontId="4" fillId="3" borderId="4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" fontId="0" fillId="4" borderId="1" xfId="0" applyNumberFormat="1" applyFill="1" applyBorder="1" applyProtection="1">
      <protection locked="0"/>
    </xf>
    <xf numFmtId="1" fontId="0" fillId="4" borderId="1" xfId="0" applyNumberFormat="1" applyFill="1" applyBorder="1" applyAlignment="1" applyProtection="1">
      <alignment horizontal="center" vertical="top"/>
      <protection locked="0"/>
    </xf>
    <xf numFmtId="1" fontId="0" fillId="4" borderId="1" xfId="0" applyNumberFormat="1" applyFill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1" fontId="0" fillId="4" borderId="1" xfId="0" applyNumberFormat="1" applyFill="1" applyBorder="1" applyAlignment="1">
      <alignment horizontal="center"/>
    </xf>
    <xf numFmtId="1" fontId="0" fillId="4" borderId="1" xfId="0" applyNumberFormat="1" applyFill="1" applyBorder="1"/>
    <xf numFmtId="1" fontId="2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Protection="1">
      <protection locked="0"/>
    </xf>
    <xf numFmtId="0" fontId="2" fillId="4" borderId="1" xfId="0" applyFont="1" applyFill="1" applyBorder="1" applyAlignment="1" applyProtection="1">
      <alignment horizontal="center"/>
      <protection locked="0"/>
    </xf>
    <xf numFmtId="9" fontId="2" fillId="0" borderId="1" xfId="0" applyNumberFormat="1" applyFont="1" applyBorder="1" applyAlignment="1">
      <alignment horizontal="center"/>
    </xf>
    <xf numFmtId="9" fontId="0" fillId="4" borderId="1" xfId="0" applyNumberFormat="1" applyFill="1" applyBorder="1" applyAlignment="1" applyProtection="1">
      <alignment horizontal="center"/>
      <protection locked="0"/>
    </xf>
    <xf numFmtId="9" fontId="0" fillId="4" borderId="1" xfId="0" applyNumberFormat="1" applyFill="1" applyBorder="1" applyAlignment="1" applyProtection="1">
      <alignment horizontal="right"/>
      <protection locked="0"/>
    </xf>
    <xf numFmtId="9" fontId="2" fillId="4" borderId="1" xfId="0" applyNumberFormat="1" applyFont="1" applyFill="1" applyBorder="1" applyAlignment="1" applyProtection="1">
      <alignment horizontal="center"/>
      <protection locked="0"/>
    </xf>
    <xf numFmtId="9" fontId="2" fillId="0" borderId="1" xfId="0" applyNumberFormat="1" applyFont="1" applyBorder="1" applyAlignment="1">
      <alignment horizontal="center" vertical="top"/>
    </xf>
    <xf numFmtId="9" fontId="2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9" fontId="0" fillId="4" borderId="1" xfId="0" applyNumberFormat="1" applyFill="1" applyBorder="1" applyProtection="1"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2" fontId="0" fillId="4" borderId="1" xfId="0" applyNumberFormat="1" applyFill="1" applyBorder="1" applyAlignment="1" applyProtection="1">
      <alignment horizontal="center"/>
      <protection locked="0"/>
    </xf>
    <xf numFmtId="164" fontId="0" fillId="4" borderId="1" xfId="0" applyNumberFormat="1" applyFill="1" applyBorder="1" applyAlignment="1" applyProtection="1">
      <alignment horizontal="center"/>
      <protection locked="0"/>
    </xf>
    <xf numFmtId="2" fontId="0" fillId="4" borderId="1" xfId="0" applyNumberFormat="1" applyFill="1" applyBorder="1" applyProtection="1">
      <protection locked="0"/>
    </xf>
    <xf numFmtId="2" fontId="2" fillId="4" borderId="1" xfId="0" applyNumberFormat="1" applyFont="1" applyFill="1" applyBorder="1" applyAlignment="1" applyProtection="1">
      <alignment horizontal="center"/>
      <protection locked="0"/>
    </xf>
    <xf numFmtId="164" fontId="0" fillId="4" borderId="1" xfId="0" applyNumberFormat="1" applyFill="1" applyBorder="1" applyAlignment="1" applyProtection="1">
      <alignment horizontal="center" vertical="top"/>
      <protection locked="0"/>
    </xf>
    <xf numFmtId="164" fontId="0" fillId="4" borderId="1" xfId="0" applyNumberFormat="1" applyFill="1" applyBorder="1" applyAlignment="1" applyProtection="1">
      <alignment horizontal="center" vertical="center"/>
      <protection locked="0"/>
    </xf>
    <xf numFmtId="2" fontId="0" fillId="4" borderId="1" xfId="0" applyNumberForma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43" fontId="0" fillId="4" borderId="1" xfId="1" applyFont="1" applyFill="1" applyBorder="1" applyAlignment="1" applyProtection="1">
      <alignment horizontal="right" indent="1"/>
      <protection locked="0"/>
    </xf>
    <xf numFmtId="2" fontId="0" fillId="4" borderId="1" xfId="0" applyNumberFormat="1" applyFill="1" applyBorder="1" applyAlignment="1" applyProtection="1">
      <alignment horizontal="center" vertical="top"/>
      <protection locked="0"/>
    </xf>
    <xf numFmtId="1" fontId="2" fillId="4" borderId="1" xfId="0" applyNumberFormat="1" applyFont="1" applyFill="1" applyBorder="1" applyAlignment="1">
      <alignment horizontal="center" vertical="top"/>
    </xf>
    <xf numFmtId="1" fontId="2" fillId="4" borderId="1" xfId="0" applyNumberFormat="1" applyFont="1" applyFill="1" applyBorder="1" applyAlignment="1">
      <alignment horizontal="center" vertical="center"/>
    </xf>
    <xf numFmtId="1" fontId="6" fillId="0" borderId="1" xfId="2" applyNumberFormat="1" applyFont="1" applyFill="1" applyBorder="1" applyAlignment="1" applyProtection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1" fontId="0" fillId="4" borderId="1" xfId="0" applyNumberFormat="1" applyFill="1" applyBorder="1" applyAlignment="1" applyProtection="1">
      <alignment horizontal="right"/>
      <protection locked="0"/>
    </xf>
    <xf numFmtId="1" fontId="7" fillId="4" borderId="3" xfId="0" applyNumberFormat="1" applyFont="1" applyFill="1" applyBorder="1" applyAlignment="1">
      <alignment horizontal="center"/>
    </xf>
    <xf numFmtId="0" fontId="0" fillId="2" borderId="8" xfId="0" applyFill="1" applyBorder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1" fontId="0" fillId="4" borderId="3" xfId="0" applyNumberFormat="1" applyFill="1" applyBorder="1" applyAlignment="1" applyProtection="1">
      <alignment horizontal="center"/>
      <protection locked="0"/>
    </xf>
    <xf numFmtId="10" fontId="0" fillId="4" borderId="1" xfId="2" applyNumberFormat="1" applyFont="1" applyFill="1" applyBorder="1" applyAlignment="1" applyProtection="1">
      <alignment horizontal="center"/>
      <protection locked="0"/>
    </xf>
    <xf numFmtId="9" fontId="0" fillId="4" borderId="1" xfId="2" applyFont="1" applyFill="1" applyBorder="1" applyAlignment="1" applyProtection="1">
      <alignment horizontal="center"/>
      <protection locked="0"/>
    </xf>
    <xf numFmtId="10" fontId="1" fillId="4" borderId="1" xfId="2" applyNumberFormat="1" applyFont="1" applyFill="1" applyBorder="1" applyAlignment="1" applyProtection="1">
      <alignment horizontal="center"/>
      <protection locked="0"/>
    </xf>
    <xf numFmtId="10" fontId="1" fillId="4" borderId="1" xfId="2" applyNumberFormat="1" applyFont="1" applyFill="1" applyBorder="1" applyAlignment="1" applyProtection="1">
      <alignment horizontal="right"/>
      <protection locked="0"/>
    </xf>
    <xf numFmtId="10" fontId="2" fillId="4" borderId="1" xfId="2" applyNumberFormat="1" applyFont="1" applyFill="1" applyBorder="1" applyAlignment="1" applyProtection="1">
      <alignment horizontal="center"/>
      <protection locked="0"/>
    </xf>
    <xf numFmtId="10" fontId="0" fillId="4" borderId="1" xfId="2" applyNumberFormat="1" applyFont="1" applyFill="1" applyBorder="1" applyAlignment="1" applyProtection="1">
      <alignment horizontal="center" vertical="top"/>
      <protection locked="0"/>
    </xf>
    <xf numFmtId="10" fontId="0" fillId="4" borderId="1" xfId="2" applyNumberFormat="1" applyFont="1" applyFill="1" applyBorder="1" applyAlignment="1" applyProtection="1">
      <alignment horizontal="center" vertical="center"/>
      <protection locked="0"/>
    </xf>
    <xf numFmtId="166" fontId="0" fillId="4" borderId="1" xfId="2" applyNumberFormat="1" applyFont="1" applyFill="1" applyBorder="1" applyAlignment="1" applyProtection="1">
      <alignment horizontal="center"/>
      <protection locked="0"/>
    </xf>
    <xf numFmtId="10" fontId="0" fillId="4" borderId="1" xfId="0" quotePrefix="1" applyNumberFormat="1" applyFill="1" applyBorder="1" applyAlignment="1" applyProtection="1">
      <alignment horizontal="center"/>
      <protection locked="0"/>
    </xf>
    <xf numFmtId="10" fontId="0" fillId="4" borderId="1" xfId="0" quotePrefix="1" applyNumberFormat="1" applyFill="1" applyBorder="1" applyAlignment="1" applyProtection="1">
      <alignment horizontal="right"/>
      <protection locked="0"/>
    </xf>
    <xf numFmtId="10" fontId="2" fillId="4" borderId="1" xfId="0" quotePrefix="1" applyNumberFormat="1" applyFont="1" applyFill="1" applyBorder="1" applyAlignment="1" applyProtection="1">
      <alignment horizontal="center"/>
      <protection locked="0"/>
    </xf>
    <xf numFmtId="10" fontId="0" fillId="4" borderId="1" xfId="0" applyNumberFormat="1" applyFill="1" applyBorder="1" applyAlignment="1" applyProtection="1">
      <alignment horizontal="center"/>
      <protection locked="0"/>
    </xf>
    <xf numFmtId="1" fontId="0" fillId="0" borderId="1" xfId="0" applyNumberFormat="1" applyBorder="1" applyAlignment="1" applyProtection="1">
      <alignment horizontal="center"/>
      <protection locked="0"/>
    </xf>
    <xf numFmtId="10" fontId="0" fillId="0" borderId="1" xfId="0" applyNumberFormat="1" applyBorder="1" applyAlignment="1" applyProtection="1">
      <alignment horizontal="center"/>
      <protection locked="0"/>
    </xf>
    <xf numFmtId="10" fontId="0" fillId="0" borderId="1" xfId="2" applyNumberFormat="1" applyFont="1" applyBorder="1" applyAlignment="1" applyProtection="1">
      <alignment horizontal="center"/>
      <protection locked="0"/>
    </xf>
    <xf numFmtId="166" fontId="0" fillId="0" borderId="1" xfId="2" applyNumberFormat="1" applyFont="1" applyBorder="1" applyAlignment="1" applyProtection="1">
      <alignment horizontal="center"/>
      <protection locked="0"/>
    </xf>
    <xf numFmtId="1" fontId="0" fillId="0" borderId="1" xfId="0" applyNumberFormat="1" applyBorder="1" applyAlignment="1" applyProtection="1">
      <alignment horizontal="center" vertical="top"/>
      <protection locked="0"/>
    </xf>
    <xf numFmtId="1" fontId="0" fillId="0" borderId="1" xfId="0" applyNumberFormat="1" applyBorder="1" applyAlignment="1" applyProtection="1">
      <alignment horizontal="center" vertical="center"/>
      <protection locked="0"/>
    </xf>
    <xf numFmtId="1" fontId="7" fillId="4" borderId="1" xfId="0" applyNumberFormat="1" applyFont="1" applyFill="1" applyBorder="1" applyAlignment="1" applyProtection="1">
      <alignment horizontal="center"/>
      <protection locked="0"/>
    </xf>
    <xf numFmtId="1" fontId="0" fillId="0" borderId="1" xfId="0" applyNumberFormat="1" applyBorder="1" applyProtection="1">
      <protection locked="0"/>
    </xf>
    <xf numFmtId="1" fontId="8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 vertical="center"/>
      <protection locked="0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/>
    <xf numFmtId="1" fontId="7" fillId="0" borderId="1" xfId="0" applyNumberFormat="1" applyFont="1" applyBorder="1" applyAlignment="1">
      <alignment horizontal="center"/>
    </xf>
    <xf numFmtId="2" fontId="0" fillId="0" borderId="1" xfId="0" applyNumberFormat="1" applyBorder="1" applyAlignment="1" applyProtection="1">
      <alignment horizontal="center"/>
      <protection locked="0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 applyProtection="1">
      <alignment horizontal="center"/>
      <protection locked="0"/>
    </xf>
    <xf numFmtId="2" fontId="9" fillId="0" borderId="1" xfId="0" applyNumberFormat="1" applyFont="1" applyBorder="1"/>
    <xf numFmtId="2" fontId="8" fillId="0" borderId="1" xfId="0" applyNumberFormat="1" applyFont="1" applyBorder="1" applyAlignment="1">
      <alignment horizontal="center"/>
    </xf>
    <xf numFmtId="2" fontId="0" fillId="0" borderId="1" xfId="0" applyNumberFormat="1" applyBorder="1" applyAlignment="1" applyProtection="1">
      <alignment horizontal="center" vertical="top"/>
      <protection locked="0"/>
    </xf>
    <xf numFmtId="4" fontId="6" fillId="0" borderId="1" xfId="0" applyNumberFormat="1" applyFont="1" applyBorder="1" applyAlignment="1">
      <alignment horizontal="center" vertical="center"/>
    </xf>
    <xf numFmtId="2" fontId="0" fillId="0" borderId="1" xfId="0" applyNumberFormat="1" applyBorder="1"/>
    <xf numFmtId="2" fontId="2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/>
    </xf>
    <xf numFmtId="2" fontId="0" fillId="4" borderId="1" xfId="0" applyNumberFormat="1" applyFill="1" applyBorder="1"/>
    <xf numFmtId="2" fontId="2" fillId="4" borderId="1" xfId="0" applyNumberFormat="1" applyFont="1" applyFill="1" applyBorder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" fontId="10" fillId="4" borderId="1" xfId="0" applyNumberFormat="1" applyFont="1" applyFill="1" applyBorder="1" applyAlignment="1" applyProtection="1">
      <alignment horizontal="center"/>
      <protection locked="0"/>
    </xf>
    <xf numFmtId="1" fontId="2" fillId="4" borderId="3" xfId="0" applyNumberFormat="1" applyFont="1" applyFill="1" applyBorder="1" applyAlignment="1">
      <alignment horizontal="center"/>
    </xf>
    <xf numFmtId="1" fontId="10" fillId="4" borderId="1" xfId="0" applyNumberFormat="1" applyFont="1" applyFill="1" applyBorder="1" applyAlignment="1" applyProtection="1">
      <alignment horizontal="center" vertical="top"/>
      <protection locked="0"/>
    </xf>
    <xf numFmtId="1" fontId="10" fillId="4" borderId="1" xfId="0" applyNumberFormat="1" applyFont="1" applyFill="1" applyBorder="1" applyAlignment="1" applyProtection="1">
      <alignment horizontal="center" vertical="center"/>
      <protection locked="0"/>
    </xf>
    <xf numFmtId="2" fontId="9" fillId="4" borderId="1" xfId="0" applyNumberFormat="1" applyFont="1" applyFill="1" applyBorder="1" applyAlignment="1">
      <alignment vertical="center"/>
    </xf>
    <xf numFmtId="2" fontId="8" fillId="4" borderId="3" xfId="0" applyNumberFormat="1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top"/>
      <protection locked="0"/>
    </xf>
    <xf numFmtId="2" fontId="0" fillId="0" borderId="1" xfId="0" applyNumberFormat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left" vertical="center"/>
      <protection locked="0"/>
    </xf>
    <xf numFmtId="4" fontId="6" fillId="4" borderId="1" xfId="0" applyNumberFormat="1" applyFont="1" applyFill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/>
    </xf>
    <xf numFmtId="0" fontId="0" fillId="4" borderId="3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</cellXfs>
  <cellStyles count="3">
    <cellStyle name="Milliers" xfId="1" builtinId="3"/>
    <cellStyle name="Normal" xfId="0" builtinId="0"/>
    <cellStyle name="Pourcentage" xfId="2" builtinId="5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0"/>
  <sheetViews>
    <sheetView tabSelected="1" zoomScale="78" workbookViewId="0">
      <selection activeCell="J10" sqref="J10"/>
    </sheetView>
  </sheetViews>
  <sheetFormatPr baseColWidth="10" defaultRowHeight="14.5" x14ac:dyDescent="0.35"/>
  <cols>
    <col min="1" max="1" width="17" customWidth="1"/>
    <col min="2" max="2" width="30.54296875" customWidth="1"/>
    <col min="15" max="16" width="12.08984375" customWidth="1"/>
    <col min="28" max="28" width="14.453125" customWidth="1"/>
    <col min="29" max="29" width="13.26953125" customWidth="1"/>
    <col min="30" max="30" width="12.81640625" customWidth="1"/>
  </cols>
  <sheetData>
    <row r="1" spans="1:31" x14ac:dyDescent="0.35">
      <c r="A1" s="1"/>
      <c r="B1" s="2"/>
      <c r="C1" s="3" t="s">
        <v>79</v>
      </c>
      <c r="D1" s="3" t="s">
        <v>78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  <c r="J1" s="3" t="s">
        <v>77</v>
      </c>
      <c r="K1" s="3" t="s">
        <v>78</v>
      </c>
      <c r="L1" s="3" t="s">
        <v>72</v>
      </c>
      <c r="M1" s="3" t="s">
        <v>73</v>
      </c>
      <c r="N1" s="3" t="s">
        <v>74</v>
      </c>
      <c r="O1" s="3" t="s">
        <v>75</v>
      </c>
      <c r="P1" s="3" t="s">
        <v>76</v>
      </c>
      <c r="Q1" s="3" t="s">
        <v>77</v>
      </c>
      <c r="R1" s="3" t="s">
        <v>78</v>
      </c>
      <c r="S1" s="3" t="s">
        <v>72</v>
      </c>
      <c r="T1" s="3" t="s">
        <v>73</v>
      </c>
      <c r="U1" s="3" t="s">
        <v>74</v>
      </c>
      <c r="V1" s="3" t="s">
        <v>75</v>
      </c>
      <c r="W1" s="3" t="s">
        <v>76</v>
      </c>
      <c r="X1" s="3" t="s">
        <v>77</v>
      </c>
      <c r="Y1" s="3" t="s">
        <v>78</v>
      </c>
      <c r="Z1" s="3" t="s">
        <v>72</v>
      </c>
      <c r="AA1" s="3" t="s">
        <v>73</v>
      </c>
      <c r="AB1" s="3" t="s">
        <v>74</v>
      </c>
      <c r="AC1" s="3" t="s">
        <v>75</v>
      </c>
      <c r="AD1" s="3" t="s">
        <v>76</v>
      </c>
      <c r="AE1" s="1"/>
    </row>
    <row r="2" spans="1:31" x14ac:dyDescent="0.35">
      <c r="A2" s="1"/>
      <c r="B2" s="4"/>
      <c r="C2" s="5">
        <v>46054</v>
      </c>
      <c r="D2" s="5">
        <f>IF(C2+1&gt;EOMONTH(C2,0),"",C2+1)</f>
        <v>46055</v>
      </c>
      <c r="E2" s="5">
        <f t="shared" ref="E2:AD2" si="0">IF(D2+1&gt;EOMONTH(D2,0),"",D2+1)</f>
        <v>46056</v>
      </c>
      <c r="F2" s="5">
        <f t="shared" si="0"/>
        <v>46057</v>
      </c>
      <c r="G2" s="5">
        <f t="shared" si="0"/>
        <v>46058</v>
      </c>
      <c r="H2" s="5">
        <f t="shared" si="0"/>
        <v>46059</v>
      </c>
      <c r="I2" s="5">
        <f t="shared" si="0"/>
        <v>46060</v>
      </c>
      <c r="J2" s="5">
        <f t="shared" si="0"/>
        <v>46061</v>
      </c>
      <c r="K2" s="5">
        <f t="shared" si="0"/>
        <v>46062</v>
      </c>
      <c r="L2" s="5">
        <f t="shared" si="0"/>
        <v>46063</v>
      </c>
      <c r="M2" s="5">
        <f t="shared" si="0"/>
        <v>46064</v>
      </c>
      <c r="N2" s="5">
        <f t="shared" si="0"/>
        <v>46065</v>
      </c>
      <c r="O2" s="5">
        <f t="shared" si="0"/>
        <v>46066</v>
      </c>
      <c r="P2" s="5">
        <f t="shared" si="0"/>
        <v>46067</v>
      </c>
      <c r="Q2" s="5">
        <f t="shared" si="0"/>
        <v>46068</v>
      </c>
      <c r="R2" s="5">
        <f t="shared" si="0"/>
        <v>46069</v>
      </c>
      <c r="S2" s="5">
        <f t="shared" si="0"/>
        <v>46070</v>
      </c>
      <c r="T2" s="5">
        <f t="shared" si="0"/>
        <v>46071</v>
      </c>
      <c r="U2" s="5">
        <f t="shared" si="0"/>
        <v>46072</v>
      </c>
      <c r="V2" s="5">
        <f t="shared" si="0"/>
        <v>46073</v>
      </c>
      <c r="W2" s="5">
        <f t="shared" si="0"/>
        <v>46074</v>
      </c>
      <c r="X2" s="5">
        <f t="shared" si="0"/>
        <v>46075</v>
      </c>
      <c r="Y2" s="5">
        <f t="shared" si="0"/>
        <v>46076</v>
      </c>
      <c r="Z2" s="5">
        <f t="shared" si="0"/>
        <v>46077</v>
      </c>
      <c r="AA2" s="5">
        <f t="shared" si="0"/>
        <v>46078</v>
      </c>
      <c r="AB2" s="5">
        <f t="shared" si="0"/>
        <v>46079</v>
      </c>
      <c r="AC2" s="5">
        <f t="shared" si="0"/>
        <v>46080</v>
      </c>
      <c r="AD2" s="5">
        <f t="shared" si="0"/>
        <v>46081</v>
      </c>
      <c r="AE2" s="6" t="s">
        <v>0</v>
      </c>
    </row>
    <row r="3" spans="1:31" x14ac:dyDescent="0.35">
      <c r="A3" s="7" t="s">
        <v>1</v>
      </c>
      <c r="B3" s="8" t="s">
        <v>2</v>
      </c>
      <c r="C3" s="9" t="s">
        <v>3</v>
      </c>
      <c r="D3" s="10" t="s">
        <v>3</v>
      </c>
      <c r="E3" s="9"/>
      <c r="F3" s="9"/>
      <c r="G3" s="9" t="s">
        <v>4</v>
      </c>
      <c r="H3" s="11" t="s">
        <v>4</v>
      </c>
      <c r="I3" s="115" t="s">
        <v>4</v>
      </c>
      <c r="J3" s="9" t="s">
        <v>4</v>
      </c>
      <c r="K3" s="9" t="s">
        <v>4</v>
      </c>
      <c r="L3" s="9" t="s">
        <v>4</v>
      </c>
      <c r="M3" s="9" t="s">
        <v>4</v>
      </c>
      <c r="N3" s="9" t="s">
        <v>4</v>
      </c>
      <c r="O3" s="9" t="s">
        <v>5</v>
      </c>
      <c r="P3" s="9" t="s">
        <v>4</v>
      </c>
      <c r="Q3" s="12" t="s">
        <v>4</v>
      </c>
      <c r="R3" s="9" t="s">
        <v>4</v>
      </c>
      <c r="S3" s="9" t="s">
        <v>6</v>
      </c>
      <c r="T3" s="13" t="s">
        <v>4</v>
      </c>
      <c r="U3" s="9" t="s">
        <v>4</v>
      </c>
      <c r="V3" s="12" t="s">
        <v>4</v>
      </c>
      <c r="W3" s="14" t="s">
        <v>6</v>
      </c>
      <c r="X3" s="15" t="s">
        <v>6</v>
      </c>
      <c r="Y3" s="9" t="s">
        <v>6</v>
      </c>
      <c r="Z3" s="9" t="s">
        <v>7</v>
      </c>
      <c r="AA3" s="16" t="s">
        <v>8</v>
      </c>
      <c r="AB3" s="17" t="s">
        <v>9</v>
      </c>
      <c r="AC3" s="16" t="s">
        <v>5</v>
      </c>
      <c r="AD3" s="17" t="s">
        <v>5</v>
      </c>
      <c r="AE3" s="18"/>
    </row>
    <row r="4" spans="1:31" x14ac:dyDescent="0.35">
      <c r="A4" s="7" t="s">
        <v>10</v>
      </c>
      <c r="B4" s="8" t="s">
        <v>11</v>
      </c>
      <c r="C4" s="10">
        <v>0</v>
      </c>
      <c r="D4" s="19">
        <v>0</v>
      </c>
      <c r="E4" s="10">
        <v>0</v>
      </c>
      <c r="F4" s="10">
        <v>0</v>
      </c>
      <c r="G4" s="10">
        <v>0</v>
      </c>
      <c r="H4" s="60">
        <v>0</v>
      </c>
      <c r="I4" s="115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3096</v>
      </c>
      <c r="P4" s="10">
        <v>1677</v>
      </c>
      <c r="Q4" s="10">
        <v>0</v>
      </c>
      <c r="R4" s="10">
        <v>0</v>
      </c>
      <c r="S4" s="10">
        <v>0</v>
      </c>
      <c r="T4" s="20">
        <v>0</v>
      </c>
      <c r="U4" s="10">
        <v>0</v>
      </c>
      <c r="V4" s="16">
        <v>0</v>
      </c>
      <c r="W4" s="21">
        <v>0</v>
      </c>
      <c r="X4" s="22">
        <v>0</v>
      </c>
      <c r="Y4" s="10">
        <v>0</v>
      </c>
      <c r="Z4" s="10">
        <v>0</v>
      </c>
      <c r="AA4" s="10">
        <v>2672</v>
      </c>
      <c r="AB4" s="22">
        <v>5076</v>
      </c>
      <c r="AC4" s="10">
        <v>4836</v>
      </c>
      <c r="AD4" s="22">
        <v>3766</v>
      </c>
      <c r="AE4" s="23">
        <f>SUM(C4:AD4)</f>
        <v>21123</v>
      </c>
    </row>
    <row r="5" spans="1:31" x14ac:dyDescent="0.35">
      <c r="A5" s="7" t="s">
        <v>12</v>
      </c>
      <c r="B5" s="8" t="s">
        <v>13</v>
      </c>
      <c r="C5" s="10">
        <v>1250</v>
      </c>
      <c r="D5" s="10">
        <v>997</v>
      </c>
      <c r="E5" s="10">
        <v>1591</v>
      </c>
      <c r="F5" s="10">
        <v>1524</v>
      </c>
      <c r="G5" s="10">
        <v>1462</v>
      </c>
      <c r="H5" s="60">
        <v>1478</v>
      </c>
      <c r="I5" s="115">
        <v>1410</v>
      </c>
      <c r="J5" s="10">
        <v>717</v>
      </c>
      <c r="K5" s="10">
        <v>697</v>
      </c>
      <c r="L5" s="10">
        <v>1703</v>
      </c>
      <c r="M5" s="10">
        <v>1845</v>
      </c>
      <c r="N5" s="10">
        <v>1601</v>
      </c>
      <c r="O5" s="10">
        <v>1315</v>
      </c>
      <c r="P5" s="10">
        <v>637</v>
      </c>
      <c r="Q5" s="10">
        <v>1073</v>
      </c>
      <c r="R5" s="10">
        <v>1289</v>
      </c>
      <c r="S5" s="10">
        <v>1413</v>
      </c>
      <c r="T5" s="20">
        <v>1624</v>
      </c>
      <c r="U5" s="10">
        <v>1013</v>
      </c>
      <c r="V5" s="16">
        <v>526</v>
      </c>
      <c r="W5" s="21">
        <v>627</v>
      </c>
      <c r="X5" s="22">
        <v>627</v>
      </c>
      <c r="Y5" s="10">
        <v>1926</v>
      </c>
      <c r="Z5" s="10">
        <v>1038</v>
      </c>
      <c r="AA5" s="10">
        <v>660</v>
      </c>
      <c r="AB5" s="22">
        <v>1534</v>
      </c>
      <c r="AC5" s="10">
        <v>1246</v>
      </c>
      <c r="AD5" s="22">
        <v>527</v>
      </c>
      <c r="AE5" s="23">
        <f>SUM(C5:AD5)</f>
        <v>33350</v>
      </c>
    </row>
    <row r="6" spans="1:31" x14ac:dyDescent="0.35">
      <c r="A6" s="24" t="s">
        <v>14</v>
      </c>
      <c r="B6" s="8" t="s">
        <v>15</v>
      </c>
      <c r="C6" s="10">
        <v>7922</v>
      </c>
      <c r="D6" s="10">
        <v>3234</v>
      </c>
      <c r="E6" s="10">
        <v>2812</v>
      </c>
      <c r="F6" s="10">
        <v>3323</v>
      </c>
      <c r="G6" s="10">
        <v>5714</v>
      </c>
      <c r="H6" s="60">
        <v>7826</v>
      </c>
      <c r="I6" s="115">
        <v>7999</v>
      </c>
      <c r="J6" s="10">
        <v>8315</v>
      </c>
      <c r="K6" s="10">
        <v>8409</v>
      </c>
      <c r="L6" s="10">
        <v>9986</v>
      </c>
      <c r="M6" s="10">
        <v>11915</v>
      </c>
      <c r="N6" s="10">
        <v>5100</v>
      </c>
      <c r="O6" s="10">
        <v>8800</v>
      </c>
      <c r="P6" s="10">
        <v>8800</v>
      </c>
      <c r="Q6" s="10">
        <v>9339</v>
      </c>
      <c r="R6" s="10">
        <v>7487</v>
      </c>
      <c r="S6" s="10">
        <v>11623</v>
      </c>
      <c r="T6" s="20">
        <v>12435</v>
      </c>
      <c r="U6" s="10">
        <v>11734</v>
      </c>
      <c r="V6" s="16">
        <v>12453</v>
      </c>
      <c r="W6" s="21">
        <v>10921</v>
      </c>
      <c r="X6" s="22">
        <v>9349</v>
      </c>
      <c r="Y6" s="10">
        <v>5624</v>
      </c>
      <c r="Z6" s="10">
        <v>8507</v>
      </c>
      <c r="AA6" s="10">
        <v>10172</v>
      </c>
      <c r="AB6" s="22">
        <v>8758</v>
      </c>
      <c r="AC6" s="10">
        <v>10234</v>
      </c>
      <c r="AD6" s="22">
        <v>9643</v>
      </c>
      <c r="AE6" s="23">
        <f>SUM(C6:AD6)</f>
        <v>238434</v>
      </c>
    </row>
    <row r="7" spans="1:31" x14ac:dyDescent="0.35">
      <c r="A7" s="25"/>
      <c r="B7" s="8" t="s">
        <v>16</v>
      </c>
      <c r="C7" s="10">
        <v>7922</v>
      </c>
      <c r="D7" s="10">
        <v>3234</v>
      </c>
      <c r="E7" s="10">
        <v>2812</v>
      </c>
      <c r="F7" s="10">
        <v>3323</v>
      </c>
      <c r="G7" s="10">
        <v>5714</v>
      </c>
      <c r="H7" s="60">
        <v>7826</v>
      </c>
      <c r="I7" s="10">
        <v>7999</v>
      </c>
      <c r="J7" s="10">
        <v>8315</v>
      </c>
      <c r="K7" s="10">
        <v>8409</v>
      </c>
      <c r="L7" s="10">
        <v>9986</v>
      </c>
      <c r="M7" s="10">
        <v>11915</v>
      </c>
      <c r="N7" s="10">
        <v>5100</v>
      </c>
      <c r="O7" s="10">
        <v>8800</v>
      </c>
      <c r="P7" s="10">
        <v>8800</v>
      </c>
      <c r="Q7" s="10">
        <v>9339</v>
      </c>
      <c r="R7" s="10">
        <v>7487</v>
      </c>
      <c r="S7" s="10">
        <v>11623</v>
      </c>
      <c r="T7" s="20">
        <v>12435</v>
      </c>
      <c r="U7" s="10">
        <v>11734</v>
      </c>
      <c r="V7" s="16">
        <v>12453</v>
      </c>
      <c r="W7" s="21">
        <v>10921</v>
      </c>
      <c r="X7" s="22">
        <v>9349</v>
      </c>
      <c r="Y7" s="10">
        <v>5624</v>
      </c>
      <c r="Z7" s="10">
        <v>8507</v>
      </c>
      <c r="AA7" s="10">
        <v>10172</v>
      </c>
      <c r="AB7" s="22">
        <v>8758</v>
      </c>
      <c r="AC7" s="10">
        <v>10234</v>
      </c>
      <c r="AD7" s="22">
        <v>9643</v>
      </c>
      <c r="AE7" s="23">
        <f>SUM(C7:AD7)</f>
        <v>238434</v>
      </c>
    </row>
    <row r="8" spans="1:31" x14ac:dyDescent="0.35">
      <c r="A8" s="25"/>
      <c r="B8" s="8" t="s">
        <v>17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12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1955</v>
      </c>
      <c r="P8" s="10">
        <v>0</v>
      </c>
      <c r="Q8" s="10">
        <v>0</v>
      </c>
      <c r="R8" s="10">
        <v>0</v>
      </c>
      <c r="S8" s="10">
        <v>0</v>
      </c>
      <c r="T8" s="20">
        <v>0</v>
      </c>
      <c r="U8" s="10">
        <v>0</v>
      </c>
      <c r="V8" s="16">
        <v>0</v>
      </c>
      <c r="W8" s="21">
        <v>0</v>
      </c>
      <c r="X8" s="22">
        <v>0</v>
      </c>
      <c r="Y8" s="10">
        <v>0</v>
      </c>
      <c r="Z8" s="10">
        <v>0</v>
      </c>
      <c r="AA8" s="10">
        <v>0</v>
      </c>
      <c r="AB8" s="22">
        <v>0</v>
      </c>
      <c r="AC8" s="10">
        <v>0</v>
      </c>
      <c r="AD8" s="22">
        <v>0</v>
      </c>
      <c r="AE8" s="23">
        <f>SUM(C8:AD8)</f>
        <v>1955</v>
      </c>
    </row>
    <row r="9" spans="1:31" x14ac:dyDescent="0.35">
      <c r="A9" s="25"/>
      <c r="B9" s="8" t="s">
        <v>18</v>
      </c>
      <c r="C9" s="10">
        <v>360.09090909090907</v>
      </c>
      <c r="D9" s="10">
        <v>245.55808656036447</v>
      </c>
      <c r="E9" s="26">
        <v>240.95972579263068</v>
      </c>
      <c r="F9" s="10">
        <v>216.76451402478799</v>
      </c>
      <c r="G9" s="10">
        <v>282.17283950617286</v>
      </c>
      <c r="H9" s="60">
        <v>340.26086956521738</v>
      </c>
      <c r="I9" s="10">
        <v>351.60439560439562</v>
      </c>
      <c r="J9" s="10">
        <v>357.63440860215053</v>
      </c>
      <c r="K9" s="10">
        <v>389.66635773864692</v>
      </c>
      <c r="L9" s="10">
        <v>455.56569343065689</v>
      </c>
      <c r="M9" s="10">
        <v>529.55555555555554</v>
      </c>
      <c r="N9" s="10">
        <v>419.40789473684208</v>
      </c>
      <c r="O9" s="10">
        <v>522.87581699346413</v>
      </c>
      <c r="P9" s="10">
        <v>469.33333333333331</v>
      </c>
      <c r="Q9" s="26">
        <v>444.71428571428572</v>
      </c>
      <c r="R9" s="10">
        <v>531.74715909090912</v>
      </c>
      <c r="S9" s="10">
        <v>553.47619047619048</v>
      </c>
      <c r="T9" s="27">
        <v>574.09972299168976</v>
      </c>
      <c r="U9" s="10">
        <v>634.27027027027032</v>
      </c>
      <c r="V9" s="28">
        <v>655.42105263157896</v>
      </c>
      <c r="W9" s="21">
        <v>655.52220888355339</v>
      </c>
      <c r="X9" s="22">
        <v>609.84996738421398</v>
      </c>
      <c r="Y9" s="10">
        <v>515.01831501831498</v>
      </c>
      <c r="Z9" s="10">
        <v>618.69090909090914</v>
      </c>
      <c r="AA9" s="10">
        <v>583.92652123995401</v>
      </c>
      <c r="AB9" s="22">
        <v>467.09333333333331</v>
      </c>
      <c r="AC9" s="10">
        <v>608.0808080808082</v>
      </c>
      <c r="AD9" s="22">
        <v>567.23529411764707</v>
      </c>
      <c r="AE9" s="23">
        <f>AE6/AE15</f>
        <v>470.22837534019635</v>
      </c>
    </row>
    <row r="10" spans="1:31" x14ac:dyDescent="0.35">
      <c r="A10" s="25"/>
      <c r="B10" s="8" t="s">
        <v>19</v>
      </c>
      <c r="C10" s="10">
        <v>0</v>
      </c>
      <c r="D10" s="19">
        <v>0</v>
      </c>
      <c r="E10" s="29">
        <v>0</v>
      </c>
      <c r="F10" s="10">
        <v>0</v>
      </c>
      <c r="G10" s="10">
        <v>0</v>
      </c>
      <c r="H10" s="113">
        <v>0</v>
      </c>
      <c r="I10" s="29">
        <v>0</v>
      </c>
      <c r="J10" s="10">
        <v>0</v>
      </c>
      <c r="K10" s="10">
        <v>790</v>
      </c>
      <c r="L10" s="10">
        <v>1142</v>
      </c>
      <c r="M10" s="10">
        <v>0</v>
      </c>
      <c r="N10" s="10">
        <v>0</v>
      </c>
      <c r="O10" s="10">
        <v>698</v>
      </c>
      <c r="P10" s="10">
        <v>0</v>
      </c>
      <c r="Q10" s="29">
        <v>0</v>
      </c>
      <c r="R10" s="10">
        <v>0</v>
      </c>
      <c r="S10" s="10">
        <v>0</v>
      </c>
      <c r="T10" s="30">
        <v>0</v>
      </c>
      <c r="U10" s="10">
        <v>0</v>
      </c>
      <c r="V10" s="31">
        <v>0</v>
      </c>
      <c r="W10" s="21">
        <v>0</v>
      </c>
      <c r="X10" s="22">
        <v>0</v>
      </c>
      <c r="Y10" s="10">
        <v>0</v>
      </c>
      <c r="Z10" s="10">
        <v>556</v>
      </c>
      <c r="AA10" s="10">
        <v>0</v>
      </c>
      <c r="AB10" s="22">
        <v>0</v>
      </c>
      <c r="AC10" s="10">
        <v>0</v>
      </c>
      <c r="AD10" s="22">
        <v>1340</v>
      </c>
      <c r="AE10" s="23">
        <f>SUM(C10:AD10)</f>
        <v>4526</v>
      </c>
    </row>
    <row r="11" spans="1:31" x14ac:dyDescent="0.35">
      <c r="A11" s="25"/>
      <c r="B11" s="8" t="s">
        <v>20</v>
      </c>
      <c r="C11" s="10">
        <v>0</v>
      </c>
      <c r="D11" s="9">
        <v>0</v>
      </c>
      <c r="E11" s="29">
        <v>0</v>
      </c>
      <c r="F11" s="10">
        <v>0</v>
      </c>
      <c r="G11" s="10">
        <v>0</v>
      </c>
      <c r="H11" s="113">
        <v>0</v>
      </c>
      <c r="I11" s="114">
        <v>0</v>
      </c>
      <c r="J11" s="10">
        <v>0</v>
      </c>
      <c r="K11" s="10">
        <v>790</v>
      </c>
      <c r="L11" s="10">
        <v>1142</v>
      </c>
      <c r="M11" s="10">
        <v>0</v>
      </c>
      <c r="N11" s="10">
        <v>0</v>
      </c>
      <c r="O11" s="10">
        <v>698</v>
      </c>
      <c r="P11" s="10">
        <v>0</v>
      </c>
      <c r="Q11" s="29">
        <v>0</v>
      </c>
      <c r="R11" s="10">
        <v>0</v>
      </c>
      <c r="S11" s="10">
        <v>0</v>
      </c>
      <c r="T11" s="30">
        <v>0</v>
      </c>
      <c r="U11" s="10">
        <v>0</v>
      </c>
      <c r="V11" s="31">
        <v>0</v>
      </c>
      <c r="W11" s="21">
        <v>0</v>
      </c>
      <c r="X11" s="22">
        <v>0</v>
      </c>
      <c r="Y11" s="10">
        <v>0</v>
      </c>
      <c r="Z11" s="10">
        <v>556</v>
      </c>
      <c r="AA11" s="10">
        <v>0</v>
      </c>
      <c r="AB11" s="22">
        <v>0</v>
      </c>
      <c r="AC11" s="10">
        <v>0</v>
      </c>
      <c r="AD11" s="22">
        <v>0</v>
      </c>
      <c r="AE11" s="23">
        <f>SUM(C11:AD11)</f>
        <v>3186</v>
      </c>
    </row>
    <row r="12" spans="1:31" x14ac:dyDescent="0.35">
      <c r="A12" s="25"/>
      <c r="B12" s="8" t="s">
        <v>21</v>
      </c>
      <c r="C12" s="32">
        <v>0</v>
      </c>
      <c r="D12" s="32">
        <v>0</v>
      </c>
      <c r="E12" s="32" t="e">
        <v>#DIV/0!</v>
      </c>
      <c r="F12" s="32" t="e">
        <v>#DIV/0!</v>
      </c>
      <c r="G12" s="32">
        <v>0</v>
      </c>
      <c r="H12" s="32">
        <v>0</v>
      </c>
      <c r="I12" s="11">
        <v>0</v>
      </c>
      <c r="J12" s="32">
        <v>0</v>
      </c>
      <c r="K12" s="32">
        <v>0.1072565543071161</v>
      </c>
      <c r="L12" s="32">
        <v>0.12425462731365683</v>
      </c>
      <c r="M12" s="32">
        <v>0</v>
      </c>
      <c r="N12" s="32">
        <v>0</v>
      </c>
      <c r="O12" s="32">
        <v>0.44216744809109176</v>
      </c>
      <c r="P12" s="32">
        <v>0.20935428325441241</v>
      </c>
      <c r="Q12" s="33">
        <v>0</v>
      </c>
      <c r="R12" s="32">
        <v>0</v>
      </c>
      <c r="S12" s="32">
        <v>0</v>
      </c>
      <c r="T12" s="34">
        <v>0</v>
      </c>
      <c r="U12" s="32">
        <v>0</v>
      </c>
      <c r="V12" s="35">
        <v>0</v>
      </c>
      <c r="W12" s="36">
        <v>0</v>
      </c>
      <c r="X12" s="37">
        <v>0</v>
      </c>
      <c r="Y12" s="32">
        <v>0</v>
      </c>
      <c r="Z12" s="32">
        <v>0.10926586853399593</v>
      </c>
      <c r="AA12" s="32">
        <v>0.42466934599926925</v>
      </c>
      <c r="AB12" s="37">
        <v>0.60652657601977744</v>
      </c>
      <c r="AC12" s="32">
        <v>0.60027393351405334</v>
      </c>
      <c r="AD12" s="37">
        <v>0.38953988824158842</v>
      </c>
      <c r="AE12" s="38">
        <f>(AE4+AE11)*0.87/AE31</f>
        <v>0.13232905768990114</v>
      </c>
    </row>
    <row r="13" spans="1:31" x14ac:dyDescent="0.35">
      <c r="A13" s="25"/>
      <c r="B13" s="8" t="s">
        <v>22</v>
      </c>
      <c r="C13" s="10">
        <v>0</v>
      </c>
      <c r="D13" s="10">
        <v>0</v>
      </c>
      <c r="E13" s="29">
        <v>0</v>
      </c>
      <c r="F13" s="10">
        <v>0</v>
      </c>
      <c r="G13" s="10">
        <v>0</v>
      </c>
      <c r="H13" s="29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29">
        <v>0</v>
      </c>
      <c r="R13" s="10">
        <v>0</v>
      </c>
      <c r="S13" s="10">
        <v>0</v>
      </c>
      <c r="T13" s="30">
        <v>0</v>
      </c>
      <c r="U13" s="10">
        <v>0</v>
      </c>
      <c r="V13" s="31">
        <v>0</v>
      </c>
      <c r="W13" s="21">
        <v>0</v>
      </c>
      <c r="X13" s="22">
        <v>0</v>
      </c>
      <c r="Y13" s="10">
        <v>0</v>
      </c>
      <c r="Z13" s="10">
        <v>0</v>
      </c>
      <c r="AA13" s="10">
        <v>0</v>
      </c>
      <c r="AB13" s="22">
        <v>0</v>
      </c>
      <c r="AC13" s="10">
        <v>0</v>
      </c>
      <c r="AD13" s="22">
        <v>0</v>
      </c>
      <c r="AE13" s="23">
        <f>SUM(C13:AD13)</f>
        <v>0</v>
      </c>
    </row>
    <row r="14" spans="1:31" x14ac:dyDescent="0.35">
      <c r="A14" s="25"/>
      <c r="B14" s="8" t="s">
        <v>23</v>
      </c>
      <c r="C14" s="32">
        <v>0</v>
      </c>
      <c r="D14" s="32">
        <v>0</v>
      </c>
      <c r="E14" s="33">
        <v>0</v>
      </c>
      <c r="F14" s="32">
        <v>0</v>
      </c>
      <c r="G14" s="32">
        <v>0</v>
      </c>
      <c r="H14" s="32">
        <v>0</v>
      </c>
      <c r="I14" s="9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3">
        <v>0</v>
      </c>
      <c r="R14" s="32">
        <v>0</v>
      </c>
      <c r="S14" s="32">
        <v>0</v>
      </c>
      <c r="T14" s="39">
        <v>0</v>
      </c>
      <c r="U14" s="32">
        <v>0</v>
      </c>
      <c r="V14" s="35">
        <v>0</v>
      </c>
      <c r="W14" s="36">
        <v>0</v>
      </c>
      <c r="X14" s="37">
        <v>0</v>
      </c>
      <c r="Y14" s="32">
        <v>0</v>
      </c>
      <c r="Z14" s="32">
        <v>0</v>
      </c>
      <c r="AA14" s="32">
        <v>0</v>
      </c>
      <c r="AB14" s="37">
        <v>0</v>
      </c>
      <c r="AC14" s="32">
        <v>0</v>
      </c>
      <c r="AD14" s="37">
        <v>0</v>
      </c>
      <c r="AE14" s="38">
        <f>+AE13*0.62/AE33</f>
        <v>0</v>
      </c>
    </row>
    <row r="15" spans="1:31" x14ac:dyDescent="0.35">
      <c r="A15" s="40"/>
      <c r="B15" s="8" t="s">
        <v>24</v>
      </c>
      <c r="C15" s="41">
        <v>22</v>
      </c>
      <c r="D15" s="41">
        <v>13.17</v>
      </c>
      <c r="E15" s="41">
        <v>11.67</v>
      </c>
      <c r="F15" s="41">
        <v>15.33</v>
      </c>
      <c r="G15" s="41">
        <v>20.25</v>
      </c>
      <c r="H15" s="41">
        <v>23</v>
      </c>
      <c r="I15" s="32">
        <v>22.75</v>
      </c>
      <c r="J15" s="42">
        <v>23.25</v>
      </c>
      <c r="K15" s="42">
        <v>21.58</v>
      </c>
      <c r="L15" s="42">
        <v>21.92</v>
      </c>
      <c r="M15" s="42">
        <v>22.5</v>
      </c>
      <c r="N15" s="42">
        <v>12.16</v>
      </c>
      <c r="O15" s="42">
        <v>16.829999999999998</v>
      </c>
      <c r="P15" s="42">
        <v>18.75</v>
      </c>
      <c r="Q15" s="41">
        <v>21</v>
      </c>
      <c r="R15" s="42">
        <v>14.08</v>
      </c>
      <c r="S15" s="42">
        <v>21</v>
      </c>
      <c r="T15" s="43">
        <v>21.66</v>
      </c>
      <c r="U15" s="42">
        <v>18.5</v>
      </c>
      <c r="V15" s="44">
        <v>19</v>
      </c>
      <c r="W15" s="45">
        <v>16.66</v>
      </c>
      <c r="X15" s="46">
        <v>15.33</v>
      </c>
      <c r="Y15" s="42">
        <v>10.92</v>
      </c>
      <c r="Z15" s="42">
        <v>13.75</v>
      </c>
      <c r="AA15" s="41">
        <v>17.420000000000002</v>
      </c>
      <c r="AB15" s="46">
        <v>18.75</v>
      </c>
      <c r="AC15" s="41">
        <v>16.829999999999998</v>
      </c>
      <c r="AD15" s="47">
        <v>17</v>
      </c>
      <c r="AE15" s="23">
        <f>SUM(C15:AD15)</f>
        <v>507.06000000000006</v>
      </c>
    </row>
    <row r="16" spans="1:31" x14ac:dyDescent="0.35">
      <c r="A16" s="48" t="s">
        <v>25</v>
      </c>
      <c r="B16" s="8" t="s">
        <v>26</v>
      </c>
      <c r="C16" s="10">
        <v>2288</v>
      </c>
      <c r="D16" s="10">
        <v>1853</v>
      </c>
      <c r="E16" s="10">
        <v>2454</v>
      </c>
      <c r="F16" s="10">
        <v>2967</v>
      </c>
      <c r="G16" s="10">
        <v>2745</v>
      </c>
      <c r="H16" s="10">
        <v>2203</v>
      </c>
      <c r="I16" s="41">
        <v>1909</v>
      </c>
      <c r="J16" s="10">
        <v>1044</v>
      </c>
      <c r="K16" s="10">
        <v>1740</v>
      </c>
      <c r="L16" s="10">
        <v>2132</v>
      </c>
      <c r="M16" s="10">
        <v>1823</v>
      </c>
      <c r="N16" s="10">
        <v>1457</v>
      </c>
      <c r="O16" s="10">
        <v>1339</v>
      </c>
      <c r="P16" s="10">
        <v>1990</v>
      </c>
      <c r="Q16" s="10">
        <v>2309</v>
      </c>
      <c r="R16" s="10">
        <v>1812</v>
      </c>
      <c r="S16" s="10">
        <v>2507</v>
      </c>
      <c r="T16" s="20">
        <v>3184</v>
      </c>
      <c r="U16" s="10">
        <v>2216</v>
      </c>
      <c r="V16" s="16">
        <v>2801</v>
      </c>
      <c r="W16" s="21">
        <v>4316</v>
      </c>
      <c r="X16" s="22">
        <v>4197</v>
      </c>
      <c r="Y16" s="10">
        <v>3104</v>
      </c>
      <c r="Z16" s="10">
        <v>2887</v>
      </c>
      <c r="AA16" s="10">
        <v>4194</v>
      </c>
      <c r="AB16" s="22">
        <v>3258</v>
      </c>
      <c r="AC16" s="10">
        <v>3558</v>
      </c>
      <c r="AD16" s="22">
        <v>2328</v>
      </c>
      <c r="AE16" s="23">
        <f>SUM(C16:AD16)</f>
        <v>70615</v>
      </c>
    </row>
    <row r="17" spans="1:31" x14ac:dyDescent="0.35">
      <c r="A17" s="48"/>
      <c r="B17" s="8" t="s">
        <v>27</v>
      </c>
      <c r="C17" s="10">
        <v>2288</v>
      </c>
      <c r="D17" s="10">
        <v>1853</v>
      </c>
      <c r="E17" s="10">
        <v>2454</v>
      </c>
      <c r="F17" s="10">
        <v>2967</v>
      </c>
      <c r="G17" s="10">
        <v>2745</v>
      </c>
      <c r="H17" s="10">
        <v>2203</v>
      </c>
      <c r="I17" s="10">
        <v>1909</v>
      </c>
      <c r="J17" s="10">
        <v>1044</v>
      </c>
      <c r="K17" s="10">
        <v>1740</v>
      </c>
      <c r="L17" s="10">
        <v>2132</v>
      </c>
      <c r="M17" s="10">
        <v>1823</v>
      </c>
      <c r="N17" s="10">
        <v>1457</v>
      </c>
      <c r="O17" s="10">
        <v>1339</v>
      </c>
      <c r="P17" s="10">
        <v>1990</v>
      </c>
      <c r="Q17" s="10">
        <v>2309</v>
      </c>
      <c r="R17" s="10">
        <v>1812</v>
      </c>
      <c r="S17" s="10">
        <v>2507</v>
      </c>
      <c r="T17" s="20">
        <v>3184</v>
      </c>
      <c r="U17" s="10">
        <v>2216</v>
      </c>
      <c r="V17" s="16">
        <v>2801</v>
      </c>
      <c r="W17" s="21">
        <v>4316</v>
      </c>
      <c r="X17" s="22">
        <v>4197</v>
      </c>
      <c r="Y17" s="10">
        <v>3104</v>
      </c>
      <c r="Z17" s="10">
        <v>2877</v>
      </c>
      <c r="AA17" s="10">
        <v>4194</v>
      </c>
      <c r="AB17" s="22">
        <v>3258</v>
      </c>
      <c r="AC17" s="10">
        <v>3558</v>
      </c>
      <c r="AD17" s="22">
        <v>2328</v>
      </c>
      <c r="AE17" s="23">
        <f>SUM(C17:AD17)</f>
        <v>70605</v>
      </c>
    </row>
    <row r="18" spans="1:31" x14ac:dyDescent="0.35">
      <c r="A18" s="48"/>
      <c r="B18" s="8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20">
        <v>0</v>
      </c>
      <c r="U18" s="10">
        <v>0</v>
      </c>
      <c r="V18" s="16">
        <v>0</v>
      </c>
      <c r="W18" s="21">
        <v>0</v>
      </c>
      <c r="X18" s="22">
        <v>0</v>
      </c>
      <c r="Y18" s="10">
        <v>0</v>
      </c>
      <c r="Z18" s="10">
        <v>0</v>
      </c>
      <c r="AA18" s="10">
        <v>0</v>
      </c>
      <c r="AB18" s="22">
        <v>0</v>
      </c>
      <c r="AC18" s="10">
        <v>0</v>
      </c>
      <c r="AD18" s="22">
        <v>0</v>
      </c>
      <c r="AE18" s="23">
        <f>SUM(C18:AD18)</f>
        <v>0</v>
      </c>
    </row>
    <row r="19" spans="1:31" x14ac:dyDescent="0.35">
      <c r="A19" s="48"/>
      <c r="B19" s="8" t="s">
        <v>24</v>
      </c>
      <c r="C19" s="41">
        <v>23.25</v>
      </c>
      <c r="D19" s="41">
        <v>12.17</v>
      </c>
      <c r="E19" s="41">
        <v>11.58</v>
      </c>
      <c r="F19" s="49">
        <v>14.58</v>
      </c>
      <c r="G19" s="41">
        <v>18.670000000000002</v>
      </c>
      <c r="H19" s="41">
        <v>19.579999999999998</v>
      </c>
      <c r="I19" s="41">
        <v>23.5</v>
      </c>
      <c r="J19" s="41">
        <v>20.58</v>
      </c>
      <c r="K19" s="41">
        <v>20.75</v>
      </c>
      <c r="L19" s="41">
        <v>21.5</v>
      </c>
      <c r="M19" s="41">
        <v>20.83</v>
      </c>
      <c r="N19" s="41">
        <v>11.83</v>
      </c>
      <c r="O19" s="41">
        <v>9.66</v>
      </c>
      <c r="P19" s="41">
        <v>16</v>
      </c>
      <c r="Q19" s="41">
        <v>22.33</v>
      </c>
      <c r="R19" s="41" t="s">
        <v>29</v>
      </c>
      <c r="S19" s="41">
        <v>19</v>
      </c>
      <c r="T19" s="43">
        <v>21.41</v>
      </c>
      <c r="U19" s="41">
        <v>14.83</v>
      </c>
      <c r="V19" s="44">
        <v>19</v>
      </c>
      <c r="W19" s="50">
        <v>19.829999999999998</v>
      </c>
      <c r="X19" s="47">
        <v>20.25</v>
      </c>
      <c r="Y19" s="41">
        <v>15.16</v>
      </c>
      <c r="Z19" s="41">
        <v>18.5</v>
      </c>
      <c r="AA19" s="41">
        <v>17.25</v>
      </c>
      <c r="AB19" s="47">
        <v>17.25</v>
      </c>
      <c r="AC19" s="41">
        <v>15.91</v>
      </c>
      <c r="AD19" s="47">
        <v>11</v>
      </c>
      <c r="AE19" s="23">
        <f>AE16/AE20</f>
        <v>476.25819929356345</v>
      </c>
    </row>
    <row r="20" spans="1:31" x14ac:dyDescent="0.35">
      <c r="A20" s="48"/>
      <c r="B20" s="8" t="s">
        <v>30</v>
      </c>
      <c r="C20" s="10">
        <v>98.408602150537632</v>
      </c>
      <c r="D20" s="10">
        <v>152.2596548890715</v>
      </c>
      <c r="E20" s="26">
        <v>211.91709844559585</v>
      </c>
      <c r="F20" s="10">
        <v>203.49794238683128</v>
      </c>
      <c r="G20" s="10">
        <v>147.02731655061595</v>
      </c>
      <c r="H20" s="10">
        <v>112.51276813074567</v>
      </c>
      <c r="I20" s="10">
        <v>81.234042553191486</v>
      </c>
      <c r="J20" s="10">
        <v>50.72886297376094</v>
      </c>
      <c r="K20" s="10">
        <v>83.855421686746993</v>
      </c>
      <c r="L20" s="10">
        <v>99.162790697674424</v>
      </c>
      <c r="M20" s="10">
        <v>87.518002880460884</v>
      </c>
      <c r="N20" s="10">
        <v>123.1614539306847</v>
      </c>
      <c r="O20" s="10">
        <v>138.61283643892338</v>
      </c>
      <c r="P20" s="10">
        <v>124.375</v>
      </c>
      <c r="Q20" s="26">
        <v>103.40349305866548</v>
      </c>
      <c r="R20" s="26">
        <v>103.40349305866548</v>
      </c>
      <c r="S20" s="10">
        <v>131.94736842105263</v>
      </c>
      <c r="T20" s="27">
        <v>148.7155534796824</v>
      </c>
      <c r="U20" s="28">
        <v>149.42683749157115</v>
      </c>
      <c r="V20" s="28">
        <v>147.42105263157896</v>
      </c>
      <c r="W20" s="51">
        <v>217.65002521432174</v>
      </c>
      <c r="X20" s="52">
        <v>207.25925925925927</v>
      </c>
      <c r="Y20" s="28">
        <v>204.74934036939314</v>
      </c>
      <c r="Z20" s="28">
        <v>156.05405405405406</v>
      </c>
      <c r="AA20" s="28">
        <v>243.13043478260869</v>
      </c>
      <c r="AB20" s="52">
        <v>188.86956521739131</v>
      </c>
      <c r="AC20" s="28">
        <v>223.63293526084223</v>
      </c>
      <c r="AD20" s="52">
        <v>211.63636363636363</v>
      </c>
      <c r="AE20" s="53">
        <f>AVERAGE(C20:AD20)</f>
        <v>148.27041320179609</v>
      </c>
    </row>
    <row r="21" spans="1:31" x14ac:dyDescent="0.35">
      <c r="A21" s="54"/>
      <c r="B21" s="8" t="s">
        <v>31</v>
      </c>
      <c r="C21" s="10">
        <v>857</v>
      </c>
      <c r="D21" s="10">
        <v>525</v>
      </c>
      <c r="E21" s="10">
        <v>0</v>
      </c>
      <c r="F21" s="10">
        <v>0</v>
      </c>
      <c r="G21" s="10">
        <v>0</v>
      </c>
      <c r="H21" s="10">
        <v>0</v>
      </c>
      <c r="I21" s="10">
        <v>412</v>
      </c>
      <c r="J21" s="10">
        <v>747</v>
      </c>
      <c r="K21" s="10">
        <v>389</v>
      </c>
      <c r="L21" s="10">
        <v>0</v>
      </c>
      <c r="M21" s="10">
        <v>266</v>
      </c>
      <c r="N21" s="10">
        <v>264</v>
      </c>
      <c r="O21" s="10">
        <v>1847</v>
      </c>
      <c r="P21" s="10">
        <v>475</v>
      </c>
      <c r="Q21" s="10">
        <v>0</v>
      </c>
      <c r="R21" s="10">
        <v>0</v>
      </c>
      <c r="S21" s="10">
        <v>0</v>
      </c>
      <c r="T21" s="20">
        <v>0</v>
      </c>
      <c r="U21" s="28">
        <v>0</v>
      </c>
      <c r="V21" s="28">
        <v>0</v>
      </c>
      <c r="W21" s="51">
        <v>0</v>
      </c>
      <c r="X21" s="52">
        <v>0</v>
      </c>
      <c r="Y21" s="28">
        <v>0</v>
      </c>
      <c r="Z21" s="28">
        <v>967</v>
      </c>
      <c r="AA21" s="28">
        <v>2155</v>
      </c>
      <c r="AB21" s="52">
        <v>891</v>
      </c>
      <c r="AC21" s="28">
        <v>2328</v>
      </c>
      <c r="AD21" s="52">
        <v>1842</v>
      </c>
      <c r="AE21" s="53">
        <f>SUM(C21:AD21)</f>
        <v>13965</v>
      </c>
    </row>
    <row r="22" spans="1:31" ht="18.5" x14ac:dyDescent="0.45">
      <c r="A22" s="55" t="s">
        <v>32</v>
      </c>
      <c r="B22" s="8" t="s">
        <v>33</v>
      </c>
      <c r="C22" s="10">
        <v>48.284671532846716</v>
      </c>
      <c r="D22" s="10">
        <v>53.266385342663298</v>
      </c>
      <c r="E22" s="26" t="e">
        <v>#DIV/0!</v>
      </c>
      <c r="F22" s="10" t="e">
        <v>#DIV/0!</v>
      </c>
      <c r="G22" s="10">
        <v>51.952702702702709</v>
      </c>
      <c r="H22" s="10">
        <v>44.622807017543863</v>
      </c>
      <c r="I22" s="10">
        <v>41.669230769230772</v>
      </c>
      <c r="J22" s="10">
        <v>46.507425742574249</v>
      </c>
      <c r="K22" s="10">
        <v>44.5</v>
      </c>
      <c r="L22" s="10">
        <v>45.604562737642588</v>
      </c>
      <c r="M22" s="10">
        <v>46.663533834586467</v>
      </c>
      <c r="N22" s="10">
        <v>50.025974025974016</v>
      </c>
      <c r="O22" s="10">
        <v>55.433168316831676</v>
      </c>
      <c r="P22" s="10">
        <v>51.501416430594901</v>
      </c>
      <c r="Q22" s="26">
        <v>54.360655737704917</v>
      </c>
      <c r="R22" s="10">
        <v>52.261506276150627</v>
      </c>
      <c r="S22" s="10">
        <v>54.706249999999997</v>
      </c>
      <c r="T22" s="56">
        <v>49.217647058823523</v>
      </c>
      <c r="U22" s="10">
        <v>50.977611940298502</v>
      </c>
      <c r="V22" s="57">
        <v>51.511627906976734</v>
      </c>
      <c r="W22" s="21">
        <v>52.862068965517238</v>
      </c>
      <c r="X22" s="22">
        <v>53.426470588235297</v>
      </c>
      <c r="Y22" s="10">
        <v>51.230769230769226</v>
      </c>
      <c r="Z22" s="10">
        <v>48.119565217391305</v>
      </c>
      <c r="AA22" s="10">
        <v>53.318181818181813</v>
      </c>
      <c r="AB22" s="22">
        <v>56.296391752577314</v>
      </c>
      <c r="AC22" s="10">
        <v>54.7578125</v>
      </c>
      <c r="AD22" s="22">
        <v>55.335526315789465</v>
      </c>
      <c r="AE22" s="23">
        <f>AE31/AE35/8</f>
        <v>50.516524952802534</v>
      </c>
    </row>
    <row r="23" spans="1:31" x14ac:dyDescent="0.35">
      <c r="A23" s="58"/>
      <c r="B23" s="8" t="s">
        <v>34</v>
      </c>
      <c r="C23" s="10">
        <v>48.284671532846716</v>
      </c>
      <c r="D23" s="10">
        <v>53.266385342663298</v>
      </c>
      <c r="E23" s="26" t="e">
        <v>#DIV/0!</v>
      </c>
      <c r="F23" s="10" t="e">
        <v>#DIV/0!</v>
      </c>
      <c r="G23" s="10">
        <v>45.911214953271035</v>
      </c>
      <c r="H23" s="10">
        <v>41.964285714285715</v>
      </c>
      <c r="I23" s="10">
        <v>40.989399293286219</v>
      </c>
      <c r="J23" s="10">
        <v>40.843949044585969</v>
      </c>
      <c r="K23" s="10">
        <v>41.511627906976742</v>
      </c>
      <c r="L23" s="10">
        <v>43.528368794326241</v>
      </c>
      <c r="M23" s="10">
        <v>45.150501672240807</v>
      </c>
      <c r="N23" s="10">
        <v>47.083333333333336</v>
      </c>
      <c r="O23" s="10">
        <v>49.773755656108598</v>
      </c>
      <c r="P23" s="10">
        <v>50.260199833472107</v>
      </c>
      <c r="Q23" s="10">
        <v>50.567567567567565</v>
      </c>
      <c r="R23" s="10">
        <v>50.493156199677941</v>
      </c>
      <c r="S23" s="10">
        <v>0</v>
      </c>
      <c r="T23" s="56">
        <v>49.046666666666667</v>
      </c>
      <c r="U23" s="10">
        <v>48.125</v>
      </c>
      <c r="V23" s="10">
        <v>49.0625</v>
      </c>
      <c r="W23" s="10">
        <v>0</v>
      </c>
      <c r="X23" s="10" t="e">
        <v>#DIV/0!</v>
      </c>
      <c r="Y23" s="10" t="e">
        <v>#DIV/0!</v>
      </c>
      <c r="Z23" s="10">
        <v>45.321637426900587</v>
      </c>
      <c r="AA23" s="10">
        <v>52.131578947368418</v>
      </c>
      <c r="AB23" s="22">
        <v>52.689594356261026</v>
      </c>
      <c r="AC23" s="10">
        <v>49.4140625</v>
      </c>
      <c r="AD23" s="22">
        <v>50.178571428571431</v>
      </c>
      <c r="AE23" s="23">
        <f t="shared" ref="AE23" si="1">AE32/AE36/8</f>
        <v>47.207136309535642</v>
      </c>
    </row>
    <row r="24" spans="1:31" x14ac:dyDescent="0.35">
      <c r="A24" s="58"/>
      <c r="B24" s="8" t="s">
        <v>35</v>
      </c>
      <c r="C24" s="10">
        <v>0</v>
      </c>
      <c r="D24" s="59" t="e">
        <v>#DIV/0!</v>
      </c>
      <c r="E24" s="26" t="e">
        <v>#DIV/0!</v>
      </c>
      <c r="F24" s="10" t="e">
        <v>#DIV/0!</v>
      </c>
      <c r="G24" s="10">
        <v>60.240384615384613</v>
      </c>
      <c r="H24" s="10">
        <v>48.440170940170944</v>
      </c>
      <c r="I24" s="10">
        <v>46.25</v>
      </c>
      <c r="J24" s="10">
        <v>49.0625</v>
      </c>
      <c r="K24" s="10">
        <v>48.931034482758619</v>
      </c>
      <c r="L24" s="10">
        <v>49.349680170575702</v>
      </c>
      <c r="M24" s="10">
        <v>49.797921478060033</v>
      </c>
      <c r="N24" s="10">
        <v>52.609756097560954</v>
      </c>
      <c r="O24" s="10">
        <v>56.0546875</v>
      </c>
      <c r="P24" s="10">
        <v>54.591836734693871</v>
      </c>
      <c r="Q24" s="10">
        <v>60.208333333333336</v>
      </c>
      <c r="R24" s="10">
        <v>55.166666666666664</v>
      </c>
      <c r="S24" s="10">
        <v>54.706249999999997</v>
      </c>
      <c r="T24" s="56">
        <v>50.5</v>
      </c>
      <c r="U24" s="10">
        <v>54.826862539349428</v>
      </c>
      <c r="V24" s="60">
        <v>54.60526315789474</v>
      </c>
      <c r="W24" s="10">
        <v>52.862068965517238</v>
      </c>
      <c r="X24" s="10">
        <v>52.652173913043477</v>
      </c>
      <c r="Y24" s="10">
        <v>51.199261992619924</v>
      </c>
      <c r="Z24" s="10">
        <v>52.226394849785407</v>
      </c>
      <c r="AA24" s="10" t="e">
        <v>#DIV/0!</v>
      </c>
      <c r="AB24" s="22">
        <v>61.071428571428569</v>
      </c>
      <c r="AC24" s="10">
        <v>54.507575757575758</v>
      </c>
      <c r="AD24" s="22">
        <v>53.68217054263566</v>
      </c>
      <c r="AE24" s="23"/>
    </row>
    <row r="25" spans="1:31" ht="18.5" x14ac:dyDescent="0.45">
      <c r="A25" s="58"/>
      <c r="B25" s="8" t="s">
        <v>36</v>
      </c>
      <c r="C25" s="10">
        <v>0</v>
      </c>
      <c r="D25" s="19" t="e">
        <v>#DIV/0!</v>
      </c>
      <c r="E25" s="26" t="e">
        <v>#DIV/0!</v>
      </c>
      <c r="F25" s="10" t="e">
        <v>#DIV/0!</v>
      </c>
      <c r="G25" s="10" t="e">
        <v>#DIV/0!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64.309210526315795</v>
      </c>
      <c r="P25" s="10">
        <v>0</v>
      </c>
      <c r="Q25" s="26">
        <v>0</v>
      </c>
      <c r="R25" s="10">
        <v>0</v>
      </c>
      <c r="S25" s="10">
        <v>0</v>
      </c>
      <c r="T25" s="56">
        <v>0</v>
      </c>
      <c r="U25" s="10">
        <v>0</v>
      </c>
      <c r="V25" s="57">
        <v>0</v>
      </c>
      <c r="W25" s="21">
        <v>0</v>
      </c>
      <c r="X25" s="22" t="e">
        <v>#DIV/0!</v>
      </c>
      <c r="Y25" s="10" t="e">
        <v>#DIV/0!</v>
      </c>
      <c r="Z25" s="10" t="e">
        <v>#DIV/0!</v>
      </c>
      <c r="AA25" s="10">
        <v>56.756756756756758</v>
      </c>
      <c r="AB25" s="22">
        <v>56.803571428571431</v>
      </c>
      <c r="AC25" s="10">
        <v>60.317460317460316</v>
      </c>
      <c r="AD25" s="22">
        <v>63.761261261261261</v>
      </c>
      <c r="AE25" s="23">
        <f>AE33/AE38/8</f>
        <v>334.16089299461123</v>
      </c>
    </row>
    <row r="26" spans="1:31" x14ac:dyDescent="0.35">
      <c r="A26" s="58"/>
      <c r="B26" s="8" t="s">
        <v>37</v>
      </c>
      <c r="C26" s="10">
        <v>0</v>
      </c>
      <c r="D26" s="10">
        <v>0</v>
      </c>
      <c r="E26" s="10">
        <v>0</v>
      </c>
      <c r="F26" s="10">
        <v>0</v>
      </c>
      <c r="G26" s="10">
        <v>229</v>
      </c>
      <c r="H26" s="10">
        <v>377</v>
      </c>
      <c r="I26" s="10">
        <v>281</v>
      </c>
      <c r="J26" s="10">
        <v>869</v>
      </c>
      <c r="K26" s="10">
        <v>834</v>
      </c>
      <c r="L26" s="10">
        <v>728</v>
      </c>
      <c r="M26" s="10">
        <v>772</v>
      </c>
      <c r="N26" s="10">
        <v>262</v>
      </c>
      <c r="O26" s="10">
        <v>535</v>
      </c>
      <c r="P26" s="10">
        <v>455</v>
      </c>
      <c r="Q26" s="10">
        <v>818</v>
      </c>
      <c r="R26" s="10">
        <v>660</v>
      </c>
      <c r="S26" s="10">
        <v>1385</v>
      </c>
      <c r="T26" s="20">
        <v>600</v>
      </c>
      <c r="U26" s="10">
        <v>903</v>
      </c>
      <c r="V26" s="16">
        <v>908</v>
      </c>
      <c r="W26" s="21">
        <v>570</v>
      </c>
      <c r="X26" s="22">
        <v>593</v>
      </c>
      <c r="Y26" s="10">
        <v>272</v>
      </c>
      <c r="Z26" s="10">
        <v>242</v>
      </c>
      <c r="AA26" s="10">
        <v>78</v>
      </c>
      <c r="AB26" s="22">
        <v>360</v>
      </c>
      <c r="AC26" s="10">
        <v>456</v>
      </c>
      <c r="AD26" s="22">
        <v>662</v>
      </c>
      <c r="AE26" s="23">
        <f>SUM(C26:AD26)</f>
        <v>13849</v>
      </c>
    </row>
    <row r="27" spans="1:31" x14ac:dyDescent="0.35">
      <c r="A27" s="58"/>
      <c r="B27" s="8" t="s">
        <v>38</v>
      </c>
      <c r="C27" s="61">
        <v>0.1507</v>
      </c>
      <c r="D27" s="62">
        <v>0.15629999999999999</v>
      </c>
      <c r="E27" s="61">
        <v>0</v>
      </c>
      <c r="F27" s="61">
        <v>0</v>
      </c>
      <c r="G27" s="61">
        <v>0.15529999999999999</v>
      </c>
      <c r="H27" s="61">
        <v>0.17130000000000001</v>
      </c>
      <c r="I27" s="61">
        <v>0.1772</v>
      </c>
      <c r="J27" s="61">
        <v>0.1736</v>
      </c>
      <c r="K27" s="61">
        <v>0.16689999999999999</v>
      </c>
      <c r="L27" s="61">
        <v>0.16239999999999999</v>
      </c>
      <c r="M27" s="61">
        <v>0.16170000000000001</v>
      </c>
      <c r="N27" s="61">
        <v>0.1497</v>
      </c>
      <c r="O27" s="61">
        <v>0.15559999999999999</v>
      </c>
      <c r="P27" s="61">
        <v>0.15770000000000001</v>
      </c>
      <c r="Q27" s="63">
        <v>0.15959999999999999</v>
      </c>
      <c r="R27" s="61">
        <v>0.16020000000000001</v>
      </c>
      <c r="S27" s="61">
        <v>0.15429999999999999</v>
      </c>
      <c r="T27" s="64">
        <v>0.15720000000000001</v>
      </c>
      <c r="U27" s="61">
        <v>0.15720000000000001</v>
      </c>
      <c r="V27" s="65">
        <v>0.1583</v>
      </c>
      <c r="W27" s="66">
        <v>0.155</v>
      </c>
      <c r="X27" s="67">
        <v>0.15459999999999999</v>
      </c>
      <c r="Y27" s="61">
        <v>0.15740000000000001</v>
      </c>
      <c r="Z27" s="61">
        <v>0.16320000000000001</v>
      </c>
      <c r="AA27" s="61">
        <v>0.15340000000000001</v>
      </c>
      <c r="AB27" s="67">
        <v>0.1555</v>
      </c>
      <c r="AC27" s="61">
        <v>0.158</v>
      </c>
      <c r="AD27" s="67">
        <v>0.16170000000000001</v>
      </c>
      <c r="AE27" s="38">
        <f>+AVERAGEIF(C27:AD27,"&gt;0")</f>
        <v>0.15938461538461535</v>
      </c>
    </row>
    <row r="28" spans="1:31" x14ac:dyDescent="0.35">
      <c r="A28" s="58"/>
      <c r="B28" s="8" t="s">
        <v>39</v>
      </c>
      <c r="C28" s="61">
        <v>3.6900000000000002E-2</v>
      </c>
      <c r="D28" s="68">
        <v>3.4000000000000002E-2</v>
      </c>
      <c r="E28" s="69">
        <v>0</v>
      </c>
      <c r="F28" s="61">
        <v>0</v>
      </c>
      <c r="G28" s="61">
        <v>3.2800000000000003E-2</v>
      </c>
      <c r="H28" s="61">
        <v>3.5999999999999997E-2</v>
      </c>
      <c r="I28" s="61">
        <v>3.5200000000000002E-2</v>
      </c>
      <c r="J28" s="61">
        <v>3.5999999999999997E-2</v>
      </c>
      <c r="K28" s="61">
        <v>3.7400000000000003E-2</v>
      </c>
      <c r="L28" s="61">
        <v>3.7400000000000003E-2</v>
      </c>
      <c r="M28" s="61">
        <v>3.6799999999999999E-2</v>
      </c>
      <c r="N28" s="61">
        <v>3.56E-2</v>
      </c>
      <c r="O28" s="61">
        <v>3.8899999999999997E-2</v>
      </c>
      <c r="P28" s="61">
        <v>3.6799999999999999E-2</v>
      </c>
      <c r="Q28" s="69">
        <v>3.5999999999999997E-2</v>
      </c>
      <c r="R28" s="61">
        <v>3.5999999999999997E-2</v>
      </c>
      <c r="S28" s="61">
        <v>0</v>
      </c>
      <c r="T28" s="70">
        <v>3.5999999999999997E-2</v>
      </c>
      <c r="U28" s="61">
        <v>3.61E-2</v>
      </c>
      <c r="V28" s="71">
        <v>3.6799999999999999E-2</v>
      </c>
      <c r="W28" s="66">
        <v>0</v>
      </c>
      <c r="X28" s="67">
        <v>0</v>
      </c>
      <c r="Y28" s="61">
        <v>0</v>
      </c>
      <c r="Z28" s="61">
        <v>3.3700000000000001E-2</v>
      </c>
      <c r="AA28" s="61">
        <v>3.5099999999999999E-2</v>
      </c>
      <c r="AB28" s="67">
        <v>3.5799999999999998E-2</v>
      </c>
      <c r="AC28" s="61">
        <v>3.5099999999999999E-2</v>
      </c>
      <c r="AD28" s="67">
        <v>3.5099999999999999E-2</v>
      </c>
      <c r="AE28" s="38">
        <f>+AVERAGEIF(C28:AD28,"&gt;0")</f>
        <v>3.588636363636364E-2</v>
      </c>
    </row>
    <row r="29" spans="1:31" x14ac:dyDescent="0.35">
      <c r="A29" s="58"/>
      <c r="B29" s="8" t="s">
        <v>40</v>
      </c>
      <c r="C29" s="61">
        <v>0</v>
      </c>
      <c r="D29" s="61">
        <v>0</v>
      </c>
      <c r="E29" s="72">
        <v>0</v>
      </c>
      <c r="F29" s="61">
        <v>0</v>
      </c>
      <c r="G29" s="61">
        <v>5.45E-2</v>
      </c>
      <c r="H29" s="61">
        <v>5.5100000000000003E-2</v>
      </c>
      <c r="I29" s="61">
        <v>5.45E-2</v>
      </c>
      <c r="J29" s="61">
        <v>5.57E-2</v>
      </c>
      <c r="K29" s="61">
        <v>5.4699999999999999E-2</v>
      </c>
      <c r="L29" s="61">
        <v>5.4699999999999999E-2</v>
      </c>
      <c r="M29" s="61">
        <v>5.33E-2</v>
      </c>
      <c r="N29" s="61">
        <v>5.5100000000000003E-2</v>
      </c>
      <c r="O29" s="61">
        <v>5.3199999999999997E-2</v>
      </c>
      <c r="P29" s="61">
        <v>5.2400000000000002E-2</v>
      </c>
      <c r="Q29" s="69">
        <v>5.4199999999999998E-2</v>
      </c>
      <c r="R29" s="61">
        <v>5.4199999999999998E-2</v>
      </c>
      <c r="S29" s="61">
        <v>5.5399999999999998E-2</v>
      </c>
      <c r="T29" s="70">
        <v>5.5E-2</v>
      </c>
      <c r="U29" s="61">
        <v>5.5500000000000001E-2</v>
      </c>
      <c r="V29" s="71">
        <v>5.5199999999999999E-2</v>
      </c>
      <c r="W29" s="66">
        <v>5.4199999999999998E-2</v>
      </c>
      <c r="X29" s="67">
        <v>5.3999999999999999E-2</v>
      </c>
      <c r="Y29" s="61">
        <v>5.2999999999999999E-2</v>
      </c>
      <c r="Z29" s="61">
        <v>5.5800000000000002E-2</v>
      </c>
      <c r="AA29" s="61">
        <v>0</v>
      </c>
      <c r="AB29" s="67">
        <v>5.5599999999999997E-2</v>
      </c>
      <c r="AC29" s="61">
        <v>4.4499999999999998E-2</v>
      </c>
      <c r="AD29" s="67">
        <v>5.5500000000000001E-2</v>
      </c>
      <c r="AE29" s="38">
        <f>+AVERAGEIF(C29:AD29,"&gt;0")</f>
        <v>5.4143478260869578E-2</v>
      </c>
    </row>
    <row r="30" spans="1:31" x14ac:dyDescent="0.35">
      <c r="A30" s="58"/>
      <c r="B30" s="8" t="s">
        <v>41</v>
      </c>
      <c r="C30" s="73">
        <v>0</v>
      </c>
      <c r="D30" s="73">
        <v>0</v>
      </c>
      <c r="E30" s="69">
        <v>0</v>
      </c>
      <c r="F30" s="73">
        <v>0</v>
      </c>
      <c r="G30" s="61">
        <v>0</v>
      </c>
      <c r="H30" s="74">
        <v>0</v>
      </c>
      <c r="I30" s="74">
        <v>0</v>
      </c>
      <c r="J30" s="73">
        <v>0</v>
      </c>
      <c r="K30" s="73">
        <v>0</v>
      </c>
      <c r="L30" s="75">
        <v>0</v>
      </c>
      <c r="M30" s="76">
        <v>0</v>
      </c>
      <c r="N30" s="73">
        <v>0</v>
      </c>
      <c r="O30" s="75">
        <v>3.8899999999999997E-2</v>
      </c>
      <c r="P30" s="73">
        <v>0</v>
      </c>
      <c r="Q30" s="69">
        <v>0</v>
      </c>
      <c r="R30" s="73">
        <v>0</v>
      </c>
      <c r="S30" s="73">
        <v>0</v>
      </c>
      <c r="T30" s="70">
        <v>0</v>
      </c>
      <c r="U30" s="73">
        <v>0</v>
      </c>
      <c r="V30" s="71">
        <v>0</v>
      </c>
      <c r="W30" s="77">
        <v>0</v>
      </c>
      <c r="X30" s="78">
        <v>0</v>
      </c>
      <c r="Y30" s="73">
        <v>0</v>
      </c>
      <c r="Z30" s="73">
        <v>0</v>
      </c>
      <c r="AA30" s="73">
        <v>3.5099999999999999E-2</v>
      </c>
      <c r="AB30" s="78">
        <v>3.5799999999999998E-2</v>
      </c>
      <c r="AC30" s="73">
        <v>3.6499999999999998E-2</v>
      </c>
      <c r="AD30" s="78">
        <v>3.6400000000000002E-2</v>
      </c>
      <c r="AE30" s="38">
        <f>+AVERAGEIF(C30:AD30,"&gt;0")</f>
        <v>3.6539999999999996E-2</v>
      </c>
    </row>
    <row r="31" spans="1:31" ht="18.5" x14ac:dyDescent="0.45">
      <c r="A31" s="58"/>
      <c r="B31" s="8" t="s">
        <v>42</v>
      </c>
      <c r="C31" s="10">
        <v>4410</v>
      </c>
      <c r="D31" s="10">
        <v>554</v>
      </c>
      <c r="E31" s="10">
        <v>0</v>
      </c>
      <c r="F31" s="10">
        <v>0</v>
      </c>
      <c r="G31" s="10">
        <v>2563</v>
      </c>
      <c r="H31" s="10">
        <v>5087</v>
      </c>
      <c r="I31" s="10">
        <v>5417</v>
      </c>
      <c r="J31" s="10">
        <v>6263</v>
      </c>
      <c r="K31" s="10">
        <v>6408</v>
      </c>
      <c r="L31" s="10">
        <v>7996</v>
      </c>
      <c r="M31" s="10">
        <v>8275</v>
      </c>
      <c r="N31" s="10">
        <v>2568</v>
      </c>
      <c r="O31" s="10">
        <v>7465</v>
      </c>
      <c r="P31" s="10">
        <v>6969</v>
      </c>
      <c r="Q31" s="10">
        <v>6632</v>
      </c>
      <c r="R31" s="10">
        <v>8327</v>
      </c>
      <c r="S31" s="10">
        <v>8753</v>
      </c>
      <c r="T31" s="56">
        <v>8367</v>
      </c>
      <c r="U31" s="10">
        <v>9108</v>
      </c>
      <c r="V31" s="79">
        <v>8860</v>
      </c>
      <c r="W31" s="21">
        <v>6132</v>
      </c>
      <c r="X31" s="22">
        <v>4844</v>
      </c>
      <c r="Y31" s="10">
        <v>2220</v>
      </c>
      <c r="Z31" s="10">
        <v>4427</v>
      </c>
      <c r="AA31" s="10">
        <v>5474</v>
      </c>
      <c r="AB31" s="22">
        <v>7281</v>
      </c>
      <c r="AC31" s="10">
        <v>7009</v>
      </c>
      <c r="AD31" s="22">
        <v>8411</v>
      </c>
      <c r="AE31" s="23">
        <f>SUM(C31:AD31)</f>
        <v>159820</v>
      </c>
    </row>
    <row r="32" spans="1:31" ht="15.5" x14ac:dyDescent="0.35">
      <c r="A32" s="58"/>
      <c r="B32" s="8" t="s">
        <v>43</v>
      </c>
      <c r="C32" s="73">
        <v>4410</v>
      </c>
      <c r="D32" s="73">
        <v>554</v>
      </c>
      <c r="E32" s="73">
        <v>0</v>
      </c>
      <c r="F32" s="73">
        <v>0</v>
      </c>
      <c r="G32" s="73">
        <v>1310</v>
      </c>
      <c r="H32" s="73">
        <v>2820</v>
      </c>
      <c r="I32" s="73">
        <v>4640</v>
      </c>
      <c r="J32" s="73">
        <v>1710</v>
      </c>
      <c r="K32" s="73">
        <v>3570</v>
      </c>
      <c r="L32" s="73">
        <v>4910</v>
      </c>
      <c r="M32" s="73">
        <v>5400</v>
      </c>
      <c r="N32" s="73">
        <v>1130</v>
      </c>
      <c r="O32" s="73">
        <v>2640</v>
      </c>
      <c r="P32" s="73">
        <v>4829</v>
      </c>
      <c r="Q32" s="73">
        <v>3742</v>
      </c>
      <c r="R32" s="73">
        <v>5017</v>
      </c>
      <c r="S32" s="73">
        <v>0</v>
      </c>
      <c r="T32" s="80">
        <v>7357</v>
      </c>
      <c r="U32" s="73">
        <v>4928</v>
      </c>
      <c r="V32" s="81">
        <v>4710</v>
      </c>
      <c r="W32" s="77">
        <v>0</v>
      </c>
      <c r="X32" s="78">
        <v>0</v>
      </c>
      <c r="Y32" s="73">
        <v>0</v>
      </c>
      <c r="Z32" s="10">
        <v>2480</v>
      </c>
      <c r="AA32" s="10">
        <v>3962</v>
      </c>
      <c r="AB32" s="22">
        <v>2390</v>
      </c>
      <c r="AC32" s="10">
        <v>2530</v>
      </c>
      <c r="AD32" s="22">
        <v>2810</v>
      </c>
      <c r="AE32" s="23">
        <f>SUM(C32:AD32)</f>
        <v>77849</v>
      </c>
    </row>
    <row r="33" spans="1:31" ht="15.5" x14ac:dyDescent="0.35">
      <c r="A33" s="58"/>
      <c r="B33" s="8" t="s">
        <v>44</v>
      </c>
      <c r="C33" s="73">
        <v>0</v>
      </c>
      <c r="D33" s="73">
        <v>0</v>
      </c>
      <c r="E33" s="59">
        <v>0</v>
      </c>
      <c r="F33" s="73">
        <v>0</v>
      </c>
      <c r="G33" s="73">
        <v>1253</v>
      </c>
      <c r="H33" s="73">
        <v>2267</v>
      </c>
      <c r="I33" s="73">
        <v>777</v>
      </c>
      <c r="J33" s="73">
        <v>4553</v>
      </c>
      <c r="K33" s="73">
        <v>2838</v>
      </c>
      <c r="L33" s="73">
        <v>3086</v>
      </c>
      <c r="M33" s="73">
        <v>2875</v>
      </c>
      <c r="N33" s="73">
        <v>1438</v>
      </c>
      <c r="O33" s="73">
        <v>2870</v>
      </c>
      <c r="P33" s="73">
        <v>2140</v>
      </c>
      <c r="Q33" s="59">
        <v>2890</v>
      </c>
      <c r="R33" s="73">
        <v>3310</v>
      </c>
      <c r="S33" s="73">
        <v>8753</v>
      </c>
      <c r="T33" s="1">
        <v>1010</v>
      </c>
      <c r="U33" s="73">
        <v>4180</v>
      </c>
      <c r="V33" s="82">
        <v>4150</v>
      </c>
      <c r="W33" s="77">
        <v>6132</v>
      </c>
      <c r="X33" s="78">
        <v>4844</v>
      </c>
      <c r="Y33" s="73">
        <v>2220</v>
      </c>
      <c r="Z33" s="10">
        <v>1947</v>
      </c>
      <c r="AA33" s="10">
        <v>0</v>
      </c>
      <c r="AB33" s="22">
        <v>1710</v>
      </c>
      <c r="AC33" s="10">
        <v>1439</v>
      </c>
      <c r="AD33" s="22">
        <v>2770</v>
      </c>
      <c r="AE33" s="23">
        <f>SUM(C33:AD33)</f>
        <v>69452</v>
      </c>
    </row>
    <row r="34" spans="1:31" ht="18.5" x14ac:dyDescent="0.45">
      <c r="A34" s="83"/>
      <c r="B34" s="8" t="s">
        <v>45</v>
      </c>
      <c r="C34" s="73">
        <v>0</v>
      </c>
      <c r="D34" s="73">
        <v>0</v>
      </c>
      <c r="E34" s="84">
        <v>0</v>
      </c>
      <c r="F34" s="73">
        <v>0</v>
      </c>
      <c r="G34" s="73">
        <v>0</v>
      </c>
      <c r="H34" s="73">
        <v>0</v>
      </c>
      <c r="I34" s="73">
        <v>0</v>
      </c>
      <c r="J34" s="73">
        <v>0</v>
      </c>
      <c r="K34" s="73">
        <v>0</v>
      </c>
      <c r="L34" s="73">
        <v>0</v>
      </c>
      <c r="M34" s="73">
        <v>0</v>
      </c>
      <c r="N34" s="73">
        <v>0</v>
      </c>
      <c r="O34" s="73">
        <v>1955</v>
      </c>
      <c r="P34" s="73">
        <v>0</v>
      </c>
      <c r="Q34" s="84">
        <v>0</v>
      </c>
      <c r="R34" s="73">
        <v>0</v>
      </c>
      <c r="S34" s="73">
        <v>0</v>
      </c>
      <c r="T34" s="85">
        <v>0</v>
      </c>
      <c r="U34" s="73">
        <v>0</v>
      </c>
      <c r="V34" s="86">
        <v>0</v>
      </c>
      <c r="W34" s="77">
        <v>0</v>
      </c>
      <c r="X34" s="78">
        <v>0</v>
      </c>
      <c r="Y34" s="73">
        <v>0</v>
      </c>
      <c r="Z34" s="10">
        <v>0</v>
      </c>
      <c r="AA34" s="10">
        <v>1512</v>
      </c>
      <c r="AB34" s="22">
        <v>3181</v>
      </c>
      <c r="AC34" s="10">
        <v>3040</v>
      </c>
      <c r="AD34" s="22">
        <v>2831</v>
      </c>
      <c r="AE34" s="23">
        <f>+SUM(C34:AD34)</f>
        <v>12519</v>
      </c>
    </row>
    <row r="35" spans="1:31" ht="15.5" x14ac:dyDescent="0.35">
      <c r="A35" s="48" t="s">
        <v>46</v>
      </c>
      <c r="B35" s="8" t="s">
        <v>24</v>
      </c>
      <c r="C35" s="87">
        <v>11.416666666666666</v>
      </c>
      <c r="D35" s="87">
        <v>1.3000694444444449</v>
      </c>
      <c r="E35" s="88">
        <v>0</v>
      </c>
      <c r="F35" s="87">
        <v>0</v>
      </c>
      <c r="G35" s="73">
        <v>6.1666666666666661</v>
      </c>
      <c r="H35" s="87">
        <v>14.25</v>
      </c>
      <c r="I35" s="87">
        <v>16.25</v>
      </c>
      <c r="J35" s="87">
        <v>16.833333333333336</v>
      </c>
      <c r="K35" s="89">
        <v>18</v>
      </c>
      <c r="L35" s="73">
        <v>21.916666666666664</v>
      </c>
      <c r="M35" s="73">
        <v>22.166666666666668</v>
      </c>
      <c r="N35" s="73">
        <v>6.4166666666666679</v>
      </c>
      <c r="O35" s="73">
        <v>16.833333333333336</v>
      </c>
      <c r="P35" s="73">
        <v>16.914583333333333</v>
      </c>
      <c r="Q35" s="88">
        <v>15.25</v>
      </c>
      <c r="R35" s="87">
        <v>19.916666666666668</v>
      </c>
      <c r="S35" s="87">
        <v>20</v>
      </c>
      <c r="T35" s="90">
        <v>21.250000000000004</v>
      </c>
      <c r="U35" s="89">
        <v>22.333333333333336</v>
      </c>
      <c r="V35" s="91">
        <v>21.500000000000004</v>
      </c>
      <c r="W35" s="92">
        <v>14.5</v>
      </c>
      <c r="X35" s="78">
        <v>11.333333333333332</v>
      </c>
      <c r="Y35" s="73">
        <v>5.416666666666667</v>
      </c>
      <c r="Z35" s="10">
        <v>11.5</v>
      </c>
      <c r="AA35" s="10">
        <v>12.833333333333334</v>
      </c>
      <c r="AB35" s="22">
        <v>16.166666666666668</v>
      </c>
      <c r="AC35" s="10">
        <v>16</v>
      </c>
      <c r="AD35" s="47">
        <v>19.000000000000004</v>
      </c>
      <c r="AE35" s="93">
        <f>SUM(C35:AD35)</f>
        <v>395.46465277777776</v>
      </c>
    </row>
    <row r="36" spans="1:31" x14ac:dyDescent="0.35">
      <c r="A36" s="48"/>
      <c r="B36" s="8" t="s">
        <v>47</v>
      </c>
      <c r="C36" s="87">
        <v>11.416666666666666</v>
      </c>
      <c r="D36" s="87">
        <v>1.3000694444444449</v>
      </c>
      <c r="E36" s="88">
        <v>0</v>
      </c>
      <c r="F36" s="87">
        <v>0</v>
      </c>
      <c r="G36" s="73">
        <v>3.566666666666666</v>
      </c>
      <c r="H36" s="87">
        <v>8.4</v>
      </c>
      <c r="I36" s="87">
        <v>14.15</v>
      </c>
      <c r="J36" s="87">
        <v>5.2333333333333361</v>
      </c>
      <c r="K36" s="89">
        <v>10.75</v>
      </c>
      <c r="L36" s="73">
        <v>14.1</v>
      </c>
      <c r="M36" s="73">
        <v>14.95</v>
      </c>
      <c r="N36" s="73">
        <v>3</v>
      </c>
      <c r="O36" s="73">
        <v>6.63</v>
      </c>
      <c r="P36" s="73">
        <v>12.01</v>
      </c>
      <c r="Q36" s="88">
        <v>9.25</v>
      </c>
      <c r="R36" s="87">
        <v>12.42</v>
      </c>
      <c r="S36" s="87">
        <v>0</v>
      </c>
      <c r="T36" s="94">
        <v>18.75</v>
      </c>
      <c r="U36" s="89">
        <v>12.8</v>
      </c>
      <c r="V36" s="95">
        <v>12</v>
      </c>
      <c r="W36" s="77">
        <v>0</v>
      </c>
      <c r="X36" s="96">
        <v>0</v>
      </c>
      <c r="Y36" s="73">
        <v>0</v>
      </c>
      <c r="Z36" s="10">
        <v>6.84</v>
      </c>
      <c r="AA36" s="10">
        <v>9.5</v>
      </c>
      <c r="AB36" s="22">
        <v>5.67</v>
      </c>
      <c r="AC36" s="10">
        <v>6.4</v>
      </c>
      <c r="AD36" s="47">
        <v>7</v>
      </c>
      <c r="AE36" s="93">
        <f>SUM(C36:AD36)</f>
        <v>206.13673611111111</v>
      </c>
    </row>
    <row r="37" spans="1:31" x14ac:dyDescent="0.35">
      <c r="A37" s="48"/>
      <c r="B37" s="8" t="s">
        <v>48</v>
      </c>
      <c r="C37" s="87">
        <v>0</v>
      </c>
      <c r="D37" s="87">
        <v>0</v>
      </c>
      <c r="E37" s="88">
        <v>0</v>
      </c>
      <c r="F37" s="87">
        <v>0</v>
      </c>
      <c r="G37" s="87">
        <v>2.6</v>
      </c>
      <c r="H37" s="87">
        <v>5.85</v>
      </c>
      <c r="I37" s="87">
        <v>2.1</v>
      </c>
      <c r="J37" s="87">
        <v>11.6</v>
      </c>
      <c r="K37" s="87">
        <v>7.25</v>
      </c>
      <c r="L37" s="87">
        <v>7.8166666666666647</v>
      </c>
      <c r="M37" s="87">
        <v>7.2166666666666686</v>
      </c>
      <c r="N37" s="87">
        <v>3.4166666666666679</v>
      </c>
      <c r="O37" s="73">
        <v>6.4</v>
      </c>
      <c r="P37" s="73">
        <v>4.9000000000000004</v>
      </c>
      <c r="Q37" s="88">
        <v>6</v>
      </c>
      <c r="R37" s="87">
        <v>7.5</v>
      </c>
      <c r="S37" s="87">
        <v>20</v>
      </c>
      <c r="T37" s="94">
        <v>2.5</v>
      </c>
      <c r="U37" s="89">
        <v>9.5299999999999994</v>
      </c>
      <c r="V37" s="95">
        <v>9.5</v>
      </c>
      <c r="W37" s="92">
        <v>14.5</v>
      </c>
      <c r="X37" s="96">
        <v>11.5</v>
      </c>
      <c r="Y37" s="73">
        <v>5.42</v>
      </c>
      <c r="Z37" s="10">
        <v>4.66</v>
      </c>
      <c r="AA37" s="10">
        <v>0</v>
      </c>
      <c r="AB37" s="22">
        <v>3.5</v>
      </c>
      <c r="AC37" s="10">
        <v>3.3</v>
      </c>
      <c r="AD37" s="47">
        <v>6.45</v>
      </c>
      <c r="AE37" s="93">
        <f>SUM(C37:AD37)</f>
        <v>163.51</v>
      </c>
    </row>
    <row r="38" spans="1:31" x14ac:dyDescent="0.35">
      <c r="A38" s="48"/>
      <c r="B38" s="8" t="s">
        <v>49</v>
      </c>
      <c r="C38" s="87">
        <v>0</v>
      </c>
      <c r="D38" s="87">
        <v>0</v>
      </c>
      <c r="E38" s="88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73">
        <v>3.8</v>
      </c>
      <c r="P38" s="73">
        <v>0</v>
      </c>
      <c r="Q38" s="88">
        <v>0</v>
      </c>
      <c r="R38" s="87">
        <v>0</v>
      </c>
      <c r="S38" s="87">
        <v>0</v>
      </c>
      <c r="T38" s="94">
        <v>0</v>
      </c>
      <c r="U38" s="89">
        <v>0</v>
      </c>
      <c r="V38" s="95">
        <v>0</v>
      </c>
      <c r="W38" s="92">
        <v>0</v>
      </c>
      <c r="X38" s="96">
        <v>0</v>
      </c>
      <c r="Y38" s="73">
        <v>0</v>
      </c>
      <c r="Z38" s="10">
        <v>0</v>
      </c>
      <c r="AA38" s="10">
        <v>3.33</v>
      </c>
      <c r="AB38" s="46">
        <v>7</v>
      </c>
      <c r="AC38" s="41">
        <v>6.3</v>
      </c>
      <c r="AD38" s="47">
        <v>5.55</v>
      </c>
      <c r="AE38" s="93">
        <f>SUM(C38:AD38)</f>
        <v>25.98</v>
      </c>
    </row>
    <row r="39" spans="1:31" x14ac:dyDescent="0.35">
      <c r="A39" s="48"/>
      <c r="B39" s="8" t="s">
        <v>50</v>
      </c>
      <c r="C39" s="41">
        <v>23.5</v>
      </c>
      <c r="D39" s="41">
        <v>2.4999999999999991</v>
      </c>
      <c r="E39" s="97">
        <v>0</v>
      </c>
      <c r="F39" s="41">
        <v>0</v>
      </c>
      <c r="G39" s="41">
        <v>12.333333333333332</v>
      </c>
      <c r="H39" s="41">
        <v>23.166666666666668</v>
      </c>
      <c r="I39" s="41">
        <v>23.000000000000004</v>
      </c>
      <c r="J39" s="41">
        <v>22.250000000000004</v>
      </c>
      <c r="K39" s="41">
        <v>22.250000000000004</v>
      </c>
      <c r="L39" s="41">
        <v>22.583333333333336</v>
      </c>
      <c r="M39" s="41">
        <v>22.916666666666668</v>
      </c>
      <c r="N39" s="41">
        <v>6.666666666666667</v>
      </c>
      <c r="O39" s="41">
        <v>20.666666666666668</v>
      </c>
      <c r="P39" s="41">
        <v>23.000000000000004</v>
      </c>
      <c r="Q39" s="97">
        <v>20.166666666666668</v>
      </c>
      <c r="R39" s="41">
        <v>10.166666666666666</v>
      </c>
      <c r="S39" s="41">
        <v>21</v>
      </c>
      <c r="T39" s="98">
        <v>19.5</v>
      </c>
      <c r="U39" s="41">
        <v>23.000000000000004</v>
      </c>
      <c r="V39" s="99">
        <v>23.333333333333336</v>
      </c>
      <c r="W39" s="50">
        <v>22.333333333333336</v>
      </c>
      <c r="X39" s="47">
        <v>22</v>
      </c>
      <c r="Y39" s="41">
        <v>10.333333333333334</v>
      </c>
      <c r="Z39" s="41">
        <v>23.166666666666668</v>
      </c>
      <c r="AA39" s="41">
        <v>23.333333333333336</v>
      </c>
      <c r="AB39" s="47">
        <v>22.166666666666668</v>
      </c>
      <c r="AC39" s="41">
        <v>22.916666666666668</v>
      </c>
      <c r="AD39" s="47">
        <v>16.25</v>
      </c>
      <c r="AE39" s="93">
        <f>SUM(C39:AD39)</f>
        <v>504.49999999999994</v>
      </c>
    </row>
    <row r="40" spans="1:31" x14ac:dyDescent="0.35">
      <c r="A40" s="48"/>
      <c r="B40" s="8" t="s">
        <v>51</v>
      </c>
      <c r="C40" s="41">
        <v>22.5</v>
      </c>
      <c r="D40" s="41">
        <v>2.5672222222222247</v>
      </c>
      <c r="E40" s="97">
        <v>0</v>
      </c>
      <c r="F40" s="41">
        <v>0</v>
      </c>
      <c r="G40" s="41">
        <v>7.3333333333333313</v>
      </c>
      <c r="H40" s="41">
        <v>23.833333333333336</v>
      </c>
      <c r="I40" s="41">
        <v>21.583333333333336</v>
      </c>
      <c r="J40" s="41">
        <v>22.083333333333332</v>
      </c>
      <c r="K40" s="41">
        <v>22.5</v>
      </c>
      <c r="L40" s="41">
        <v>21.916666666666668</v>
      </c>
      <c r="M40" s="41">
        <v>22.333333333333336</v>
      </c>
      <c r="N40" s="41">
        <v>6.666666666666667</v>
      </c>
      <c r="O40" s="41">
        <v>20.000000000000004</v>
      </c>
      <c r="P40" s="41">
        <v>23.000000000000004</v>
      </c>
      <c r="Q40" s="97">
        <v>20.333333333333336</v>
      </c>
      <c r="R40" s="41">
        <v>23.000000000000004</v>
      </c>
      <c r="S40" s="41">
        <v>21.500000000000004</v>
      </c>
      <c r="T40" s="98">
        <v>23.333333333333336</v>
      </c>
      <c r="U40" s="41">
        <v>23.000000000000004</v>
      </c>
      <c r="V40" s="99">
        <v>23.416666666666668</v>
      </c>
      <c r="W40" s="50">
        <v>22.833333333333332</v>
      </c>
      <c r="X40" s="47">
        <v>23.000000000000004</v>
      </c>
      <c r="Y40" s="41">
        <v>11.000000000000002</v>
      </c>
      <c r="Z40" s="41">
        <v>23.166666666666668</v>
      </c>
      <c r="AA40" s="41">
        <v>23.083333333333336</v>
      </c>
      <c r="AB40" s="47">
        <v>21.833333333333336</v>
      </c>
      <c r="AC40" s="41">
        <v>22.5</v>
      </c>
      <c r="AD40" s="47">
        <v>22.083333333333332</v>
      </c>
      <c r="AE40" s="93">
        <f>SUM(C40:AD40)</f>
        <v>520.40055555555557</v>
      </c>
    </row>
    <row r="41" spans="1:31" x14ac:dyDescent="0.35">
      <c r="A41" s="48"/>
      <c r="B41" s="8" t="s">
        <v>52</v>
      </c>
      <c r="C41" s="41">
        <v>22.5</v>
      </c>
      <c r="D41" s="41">
        <v>2.6666666666666679</v>
      </c>
      <c r="E41" s="97">
        <v>0</v>
      </c>
      <c r="F41" s="41">
        <v>0</v>
      </c>
      <c r="G41" s="41">
        <v>12.333333333333332</v>
      </c>
      <c r="H41" s="41">
        <v>21.416666666666668</v>
      </c>
      <c r="I41" s="41">
        <v>15.666666666666664</v>
      </c>
      <c r="J41" s="41">
        <v>22.083333333333332</v>
      </c>
      <c r="K41" s="41">
        <v>22.166666666666668</v>
      </c>
      <c r="L41" s="41">
        <v>22.5</v>
      </c>
      <c r="M41" s="41">
        <v>22.583333333333336</v>
      </c>
      <c r="N41" s="41">
        <v>6</v>
      </c>
      <c r="O41" s="41">
        <v>11.000000000000002</v>
      </c>
      <c r="P41" s="41">
        <v>22</v>
      </c>
      <c r="Q41" s="97">
        <v>20.5</v>
      </c>
      <c r="R41" s="41">
        <v>22.583333333333336</v>
      </c>
      <c r="S41" s="41">
        <v>21.666666666666668</v>
      </c>
      <c r="T41" s="98">
        <v>23.333333333333336</v>
      </c>
      <c r="U41" s="41">
        <v>23.000000000000004</v>
      </c>
      <c r="V41" s="99">
        <v>23.25</v>
      </c>
      <c r="W41" s="50">
        <v>22.833333333333332</v>
      </c>
      <c r="X41" s="47">
        <v>22.833333333333332</v>
      </c>
      <c r="Y41" s="41">
        <v>11.000000000000002</v>
      </c>
      <c r="Z41" s="41">
        <v>23.166666666666668</v>
      </c>
      <c r="AA41" s="41">
        <v>22.333333333333336</v>
      </c>
      <c r="AB41" s="47">
        <v>22</v>
      </c>
      <c r="AC41" s="41">
        <v>22.583333333333336</v>
      </c>
      <c r="AD41" s="47">
        <v>21.083333333333336</v>
      </c>
      <c r="AE41" s="93">
        <f>SUM(C41:AD41)</f>
        <v>505.08333333333326</v>
      </c>
    </row>
    <row r="42" spans="1:31" x14ac:dyDescent="0.35">
      <c r="A42" s="48"/>
      <c r="B42" s="8" t="s">
        <v>53</v>
      </c>
      <c r="C42" s="41">
        <v>22.833333333333332</v>
      </c>
      <c r="D42" s="41">
        <v>2.6666666666666679</v>
      </c>
      <c r="E42" s="97">
        <v>0</v>
      </c>
      <c r="F42" s="41">
        <v>0</v>
      </c>
      <c r="G42" s="41">
        <v>12.166666666666666</v>
      </c>
      <c r="H42" s="41">
        <v>23.583333333333332</v>
      </c>
      <c r="I42" s="41">
        <v>21.75</v>
      </c>
      <c r="J42" s="41">
        <v>23.416666666666668</v>
      </c>
      <c r="K42" s="41">
        <v>22.75</v>
      </c>
      <c r="L42" s="41">
        <v>21.583333333333336</v>
      </c>
      <c r="M42" s="41">
        <v>22.333333333333336</v>
      </c>
      <c r="N42" s="41">
        <v>6.666666666666667</v>
      </c>
      <c r="O42" s="41">
        <v>21</v>
      </c>
      <c r="P42" s="41">
        <v>22.31666666666667</v>
      </c>
      <c r="Q42" s="97">
        <v>18.166666666666668</v>
      </c>
      <c r="R42" s="41">
        <v>22.666666666666668</v>
      </c>
      <c r="S42" s="41">
        <v>21</v>
      </c>
      <c r="T42" s="98">
        <v>22.166666666666668</v>
      </c>
      <c r="U42" s="41">
        <v>20.25</v>
      </c>
      <c r="V42" s="99">
        <v>20.000000000000004</v>
      </c>
      <c r="W42" s="50">
        <v>22.833333333333332</v>
      </c>
      <c r="X42" s="47">
        <v>22.833333333333332</v>
      </c>
      <c r="Y42" s="41">
        <v>11.000000000000002</v>
      </c>
      <c r="Z42" s="41">
        <v>22.5</v>
      </c>
      <c r="AA42" s="41">
        <v>22.916666666666668</v>
      </c>
      <c r="AB42" s="47">
        <v>18.583333333333336</v>
      </c>
      <c r="AC42" s="41">
        <v>9.4166666666666679</v>
      </c>
      <c r="AD42" s="47">
        <v>21.500000000000004</v>
      </c>
      <c r="AE42" s="93">
        <f>SUM(C42:AD42)</f>
        <v>498.90000000000003</v>
      </c>
    </row>
    <row r="43" spans="1:31" x14ac:dyDescent="0.35">
      <c r="A43" s="48"/>
      <c r="B43" s="8" t="s">
        <v>54</v>
      </c>
      <c r="C43" s="41">
        <v>0</v>
      </c>
      <c r="D43" s="41">
        <v>0</v>
      </c>
      <c r="E43" s="97">
        <v>0</v>
      </c>
      <c r="F43" s="41">
        <v>0</v>
      </c>
      <c r="G43" s="41">
        <v>0</v>
      </c>
      <c r="H43" s="41">
        <v>10.666666666666666</v>
      </c>
      <c r="I43" s="41">
        <v>11.333333333333334</v>
      </c>
      <c r="J43" s="41">
        <v>0</v>
      </c>
      <c r="K43" s="41">
        <v>11.166666666666668</v>
      </c>
      <c r="L43" s="41">
        <v>20.5</v>
      </c>
      <c r="M43" s="41">
        <v>22.583333333333336</v>
      </c>
      <c r="N43" s="41">
        <v>6.666666666666667</v>
      </c>
      <c r="O43" s="41">
        <v>21</v>
      </c>
      <c r="P43" s="41">
        <v>22</v>
      </c>
      <c r="Q43" s="97">
        <v>20.000000000000004</v>
      </c>
      <c r="R43" s="41">
        <v>22.416666666666668</v>
      </c>
      <c r="S43" s="41">
        <v>21</v>
      </c>
      <c r="T43" s="98">
        <v>20.833333333333336</v>
      </c>
      <c r="U43" s="41">
        <v>22</v>
      </c>
      <c r="V43" s="99">
        <v>20.333333333333336</v>
      </c>
      <c r="W43" s="50">
        <v>5.6666666666666679</v>
      </c>
      <c r="X43" s="47">
        <v>0</v>
      </c>
      <c r="Y43" s="41">
        <v>0</v>
      </c>
      <c r="Z43" s="41">
        <v>0</v>
      </c>
      <c r="AA43" s="41">
        <v>5.0833333333333313</v>
      </c>
      <c r="AB43" s="47">
        <v>21.75</v>
      </c>
      <c r="AC43" s="41">
        <v>20.583333333333332</v>
      </c>
      <c r="AD43" s="47">
        <v>22.250000000000004</v>
      </c>
      <c r="AE43" s="93">
        <f>SUM(C43:AD43)</f>
        <v>327.83333333333331</v>
      </c>
    </row>
    <row r="44" spans="1:31" x14ac:dyDescent="0.35">
      <c r="A44" s="48"/>
      <c r="B44" s="8" t="s">
        <v>55</v>
      </c>
      <c r="C44" s="41">
        <v>0</v>
      </c>
      <c r="D44" s="41">
        <v>0</v>
      </c>
      <c r="E44" s="97">
        <v>0</v>
      </c>
      <c r="F44" s="41">
        <v>0</v>
      </c>
      <c r="G44" s="41">
        <v>0</v>
      </c>
      <c r="H44" s="41">
        <v>0</v>
      </c>
      <c r="I44" s="41">
        <v>3.083333333333333</v>
      </c>
      <c r="J44" s="41">
        <v>11.000000000000002</v>
      </c>
      <c r="K44" s="41">
        <v>12</v>
      </c>
      <c r="L44" s="41">
        <v>22.166666666666668</v>
      </c>
      <c r="M44" s="41">
        <v>19.166666666666668</v>
      </c>
      <c r="N44" s="41">
        <v>6.3333333333333321</v>
      </c>
      <c r="O44" s="41">
        <v>20.000000000000004</v>
      </c>
      <c r="P44" s="41">
        <v>0</v>
      </c>
      <c r="Q44" s="97">
        <v>4.8333333333333321</v>
      </c>
      <c r="R44" s="41">
        <v>18</v>
      </c>
      <c r="S44" s="41">
        <v>17.333333333333336</v>
      </c>
      <c r="T44" s="98">
        <v>17.333333333333336</v>
      </c>
      <c r="U44" s="41">
        <v>22.583333333333336</v>
      </c>
      <c r="V44" s="99">
        <v>22</v>
      </c>
      <c r="W44" s="50">
        <v>9.5000000000000018</v>
      </c>
      <c r="X44" s="47">
        <v>0</v>
      </c>
      <c r="Y44" s="41">
        <v>0</v>
      </c>
      <c r="Z44" s="41">
        <v>0</v>
      </c>
      <c r="AA44" s="41">
        <v>0</v>
      </c>
      <c r="AB44" s="47">
        <v>0</v>
      </c>
      <c r="AC44" s="41">
        <v>0</v>
      </c>
      <c r="AD44" s="47">
        <v>5.4999999999999991</v>
      </c>
      <c r="AE44" s="93">
        <f>SUM(C44:AD44)</f>
        <v>210.83333333333334</v>
      </c>
    </row>
    <row r="45" spans="1:31" x14ac:dyDescent="0.35">
      <c r="A45" s="48"/>
      <c r="B45" s="8" t="s">
        <v>56</v>
      </c>
      <c r="C45" s="41">
        <v>0</v>
      </c>
      <c r="D45" s="41">
        <v>0</v>
      </c>
      <c r="E45" s="97">
        <v>0</v>
      </c>
      <c r="F45" s="41">
        <v>0</v>
      </c>
      <c r="G45" s="41">
        <v>0</v>
      </c>
      <c r="H45" s="41">
        <v>1.3333333333333313</v>
      </c>
      <c r="I45" s="41">
        <v>11.750000000000002</v>
      </c>
      <c r="J45" s="41">
        <v>12</v>
      </c>
      <c r="K45" s="41">
        <v>13.083333333333332</v>
      </c>
      <c r="L45" s="41">
        <v>21.416666666666668</v>
      </c>
      <c r="M45" s="41">
        <v>22.416666666666668</v>
      </c>
      <c r="N45" s="41">
        <v>4.6666666666666687</v>
      </c>
      <c r="O45" s="41">
        <v>0</v>
      </c>
      <c r="P45" s="41">
        <v>0</v>
      </c>
      <c r="Q45" s="97">
        <v>0</v>
      </c>
      <c r="R45" s="41">
        <v>18.500000000000004</v>
      </c>
      <c r="S45" s="41">
        <v>17</v>
      </c>
      <c r="T45" s="98">
        <v>22.166666666666668</v>
      </c>
      <c r="U45" s="100">
        <v>22.083333333333332</v>
      </c>
      <c r="V45" s="99">
        <v>16.333333333333336</v>
      </c>
      <c r="W45" s="50">
        <v>0</v>
      </c>
      <c r="X45" s="47">
        <v>0</v>
      </c>
      <c r="Y45" s="41">
        <v>0</v>
      </c>
      <c r="Z45" s="41">
        <v>0</v>
      </c>
      <c r="AA45" s="41">
        <v>0</v>
      </c>
      <c r="AB45" s="47">
        <v>0.99999999999999911</v>
      </c>
      <c r="AC45" s="41">
        <v>7.9166666666666679</v>
      </c>
      <c r="AD45" s="47">
        <v>21.25</v>
      </c>
      <c r="AE45" s="93">
        <f>SUM(C45:AD45)</f>
        <v>212.91666666666669</v>
      </c>
    </row>
    <row r="46" spans="1:31" x14ac:dyDescent="0.35">
      <c r="A46" s="48"/>
      <c r="B46" s="8" t="s">
        <v>57</v>
      </c>
      <c r="C46" s="41">
        <v>0</v>
      </c>
      <c r="D46" s="41">
        <v>0</v>
      </c>
      <c r="E46" s="97">
        <v>0</v>
      </c>
      <c r="F46" s="41">
        <v>0</v>
      </c>
      <c r="G46" s="41">
        <v>5.166666666666667</v>
      </c>
      <c r="H46" s="41">
        <v>10</v>
      </c>
      <c r="I46" s="41">
        <v>21.833333333333336</v>
      </c>
      <c r="J46" s="41">
        <v>21.833333333333336</v>
      </c>
      <c r="K46" s="41">
        <v>18.083333333333336</v>
      </c>
      <c r="L46" s="41">
        <v>22.666666666666668</v>
      </c>
      <c r="M46" s="41">
        <v>23.000000000000004</v>
      </c>
      <c r="N46" s="41">
        <v>7.6666666666666687</v>
      </c>
      <c r="O46" s="41">
        <v>21</v>
      </c>
      <c r="P46" s="41">
        <v>23.000000000000004</v>
      </c>
      <c r="Q46" s="97">
        <v>18</v>
      </c>
      <c r="R46" s="41">
        <v>22</v>
      </c>
      <c r="S46" s="41">
        <v>19.5</v>
      </c>
      <c r="T46" s="98">
        <v>21.333333333333332</v>
      </c>
      <c r="U46" s="11">
        <v>22.75</v>
      </c>
      <c r="V46" s="99">
        <v>23.333333333333336</v>
      </c>
      <c r="W46" s="50">
        <v>10</v>
      </c>
      <c r="X46" s="47">
        <v>0</v>
      </c>
      <c r="Y46" s="41">
        <v>0</v>
      </c>
      <c r="Z46" s="41">
        <v>0</v>
      </c>
      <c r="AA46" s="41">
        <v>5.916666666666667</v>
      </c>
      <c r="AB46" s="47">
        <v>22</v>
      </c>
      <c r="AC46" s="41">
        <v>22.083333333333332</v>
      </c>
      <c r="AD46" s="47">
        <v>22.083333333333332</v>
      </c>
      <c r="AE46" s="93">
        <f>SUM(C46:AD46)</f>
        <v>383.25</v>
      </c>
    </row>
    <row r="47" spans="1:31" x14ac:dyDescent="0.35">
      <c r="A47" s="48"/>
      <c r="B47" s="8" t="s">
        <v>58</v>
      </c>
      <c r="C47" s="10">
        <v>53908</v>
      </c>
      <c r="D47" s="10">
        <v>6274</v>
      </c>
      <c r="E47" s="10">
        <v>0</v>
      </c>
      <c r="F47" s="10">
        <v>0</v>
      </c>
      <c r="G47" s="10">
        <v>29724</v>
      </c>
      <c r="H47" s="10">
        <v>64737</v>
      </c>
      <c r="I47" s="10">
        <v>64737</v>
      </c>
      <c r="J47" s="10">
        <v>65734</v>
      </c>
      <c r="K47" s="10">
        <v>65775</v>
      </c>
      <c r="L47" s="10">
        <v>71927</v>
      </c>
      <c r="M47" s="10">
        <v>65250</v>
      </c>
      <c r="N47" s="10">
        <v>20013</v>
      </c>
      <c r="O47" s="10">
        <v>80874</v>
      </c>
      <c r="P47" s="10">
        <v>69451</v>
      </c>
      <c r="Q47" s="10">
        <v>47253</v>
      </c>
      <c r="R47" s="10">
        <v>58502</v>
      </c>
      <c r="S47" s="10">
        <v>56112</v>
      </c>
      <c r="T47" s="20">
        <v>58280</v>
      </c>
      <c r="U47" s="10">
        <v>58401</v>
      </c>
      <c r="V47" s="12">
        <v>51361</v>
      </c>
      <c r="W47" s="21">
        <v>51134</v>
      </c>
      <c r="X47" s="22">
        <v>54888</v>
      </c>
      <c r="Y47" s="10">
        <v>26366</v>
      </c>
      <c r="Z47" s="10">
        <v>56502</v>
      </c>
      <c r="AA47" s="10">
        <v>63479</v>
      </c>
      <c r="AB47" s="22">
        <v>67461</v>
      </c>
      <c r="AC47" s="10">
        <v>60793</v>
      </c>
      <c r="AD47" s="22">
        <v>58827</v>
      </c>
      <c r="AE47" s="23">
        <f>SUM(C47:AD47)</f>
        <v>1427763</v>
      </c>
    </row>
    <row r="48" spans="1:31" x14ac:dyDescent="0.35">
      <c r="A48" s="48"/>
      <c r="B48" s="8" t="s">
        <v>59</v>
      </c>
      <c r="C48" s="101">
        <v>4410</v>
      </c>
      <c r="D48" s="101">
        <v>554</v>
      </c>
      <c r="E48" s="26">
        <v>0</v>
      </c>
      <c r="F48" s="101">
        <v>0</v>
      </c>
      <c r="G48" s="101">
        <v>2563</v>
      </c>
      <c r="H48" s="101">
        <v>4743</v>
      </c>
      <c r="I48" s="101">
        <v>4481.75</v>
      </c>
      <c r="J48" s="101">
        <v>5151.8791666666666</v>
      </c>
      <c r="K48" s="101">
        <v>4983.25</v>
      </c>
      <c r="L48" s="101">
        <v>5469.75</v>
      </c>
      <c r="M48" s="101">
        <v>5114.5</v>
      </c>
      <c r="N48" s="101">
        <v>1758</v>
      </c>
      <c r="O48" s="101">
        <v>7465</v>
      </c>
      <c r="P48" s="101">
        <v>5952.6</v>
      </c>
      <c r="Q48" s="26">
        <v>3955.6666666666665</v>
      </c>
      <c r="R48" s="101">
        <v>4845</v>
      </c>
      <c r="S48" s="101">
        <v>4835.5</v>
      </c>
      <c r="T48" s="27">
        <v>4805.5999999999995</v>
      </c>
      <c r="U48" s="101">
        <v>4838</v>
      </c>
      <c r="V48" s="102">
        <v>4417</v>
      </c>
      <c r="W48" s="103">
        <v>4568.5</v>
      </c>
      <c r="X48" s="104">
        <v>4844</v>
      </c>
      <c r="Y48" s="10">
        <v>2220</v>
      </c>
      <c r="Z48" s="10">
        <v>4427</v>
      </c>
      <c r="AA48" s="10">
        <v>5474</v>
      </c>
      <c r="AB48" s="22">
        <v>6453</v>
      </c>
      <c r="AC48" s="10">
        <v>5339</v>
      </c>
      <c r="AD48" s="22">
        <v>5353.5</v>
      </c>
      <c r="AE48" s="23">
        <f>SUM(C48:AD48)</f>
        <v>119022.49583333333</v>
      </c>
    </row>
    <row r="49" spans="1:31" ht="15.5" x14ac:dyDescent="0.35">
      <c r="A49" s="48"/>
      <c r="B49" s="8" t="s">
        <v>60</v>
      </c>
      <c r="C49" s="41">
        <v>12.224036281179139</v>
      </c>
      <c r="D49" s="41">
        <v>11.324909747292418</v>
      </c>
      <c r="E49" s="97" t="e">
        <v>#DIV/0!</v>
      </c>
      <c r="F49" s="41" t="e">
        <v>#DIV/0!</v>
      </c>
      <c r="G49" s="41">
        <v>11.597346859149434</v>
      </c>
      <c r="H49" s="41">
        <v>13.648956356736242</v>
      </c>
      <c r="I49" s="41">
        <v>14.444580799910749</v>
      </c>
      <c r="J49" s="41">
        <v>12.759227822210505</v>
      </c>
      <c r="K49" s="41">
        <v>13.199217378217027</v>
      </c>
      <c r="L49" s="41">
        <v>13.14996114996115</v>
      </c>
      <c r="M49" s="41">
        <v>12.757845341675628</v>
      </c>
      <c r="N49" s="41">
        <v>11.3839590443686</v>
      </c>
      <c r="O49" s="41">
        <v>10.8337575351641</v>
      </c>
      <c r="P49" s="41">
        <v>11.667338641937976</v>
      </c>
      <c r="Q49" s="97">
        <v>11.945647594168703</v>
      </c>
      <c r="R49" s="41">
        <v>12.074716202270382</v>
      </c>
      <c r="S49" s="41">
        <v>11.604177437700342</v>
      </c>
      <c r="T49" s="105">
        <v>12.127517895788248</v>
      </c>
      <c r="U49" s="41">
        <v>12.0713104588673</v>
      </c>
      <c r="V49" s="106">
        <v>11.628028073352954</v>
      </c>
      <c r="W49" s="50">
        <v>11.192732844478494</v>
      </c>
      <c r="X49" s="47">
        <v>11.331131296449216</v>
      </c>
      <c r="Y49" s="41">
        <v>11.876576576576577</v>
      </c>
      <c r="Z49" s="41">
        <v>12.763044951434379</v>
      </c>
      <c r="AA49" s="41">
        <v>11.596455973693825</v>
      </c>
      <c r="AB49" s="47">
        <v>10.454207345420734</v>
      </c>
      <c r="AC49" s="41">
        <v>11.38658924892302</v>
      </c>
      <c r="AD49" s="47">
        <v>10.988512188288036</v>
      </c>
      <c r="AE49" s="107">
        <f>+AE47/AE48</f>
        <v>11.995740721143086</v>
      </c>
    </row>
    <row r="50" spans="1:31" x14ac:dyDescent="0.35">
      <c r="A50" s="48"/>
      <c r="B50" s="8" t="s">
        <v>61</v>
      </c>
      <c r="C50" s="73">
        <v>0</v>
      </c>
      <c r="D50" s="73">
        <v>0</v>
      </c>
      <c r="E50" s="10">
        <v>0</v>
      </c>
      <c r="F50" s="73">
        <v>0</v>
      </c>
      <c r="G50" s="73">
        <v>0</v>
      </c>
      <c r="H50" s="73">
        <v>0</v>
      </c>
      <c r="I50" s="73">
        <v>0</v>
      </c>
      <c r="J50" s="73">
        <v>0</v>
      </c>
      <c r="K50" s="73">
        <v>0</v>
      </c>
      <c r="L50" s="73">
        <v>0</v>
      </c>
      <c r="M50" s="73">
        <v>0</v>
      </c>
      <c r="N50" s="73">
        <v>0</v>
      </c>
      <c r="O50" s="73">
        <v>0</v>
      </c>
      <c r="P50" s="73">
        <v>0</v>
      </c>
      <c r="Q50" s="10">
        <v>0</v>
      </c>
      <c r="R50" s="73">
        <v>6370.5799999999972</v>
      </c>
      <c r="S50" s="73">
        <v>12662.020000000017</v>
      </c>
      <c r="T50" s="20">
        <v>8244.2799999999916</v>
      </c>
      <c r="U50" s="10">
        <v>12682.020000000017</v>
      </c>
      <c r="V50" s="12">
        <v>10165</v>
      </c>
      <c r="W50" s="77">
        <v>10165</v>
      </c>
      <c r="X50" s="78">
        <v>0</v>
      </c>
      <c r="Y50" s="41">
        <v>0</v>
      </c>
      <c r="Z50" s="73">
        <v>0</v>
      </c>
      <c r="AA50" s="73">
        <v>0</v>
      </c>
      <c r="AB50" s="78">
        <v>3372.6599999999949</v>
      </c>
      <c r="AC50" s="73">
        <v>10138.840000000006</v>
      </c>
      <c r="AD50" s="78">
        <v>11991.680000000011</v>
      </c>
      <c r="AE50" s="23">
        <f>SUM(C50:AD50)</f>
        <v>85792.080000000031</v>
      </c>
    </row>
    <row r="51" spans="1:31" x14ac:dyDescent="0.35">
      <c r="A51" s="48"/>
      <c r="B51" s="8" t="s">
        <v>62</v>
      </c>
      <c r="C51" s="73">
        <v>0</v>
      </c>
      <c r="D51" s="73">
        <v>0</v>
      </c>
      <c r="E51" s="26">
        <v>0</v>
      </c>
      <c r="F51" s="73">
        <v>0</v>
      </c>
      <c r="G51" s="73">
        <v>0</v>
      </c>
      <c r="H51" s="73">
        <v>0</v>
      </c>
      <c r="I51" s="73">
        <v>0</v>
      </c>
      <c r="J51" s="73">
        <v>0</v>
      </c>
      <c r="K51" s="73">
        <v>0</v>
      </c>
      <c r="L51" s="73">
        <v>0</v>
      </c>
      <c r="M51" s="73">
        <v>0</v>
      </c>
      <c r="N51" s="73">
        <v>0</v>
      </c>
      <c r="O51" s="73">
        <v>0</v>
      </c>
      <c r="P51" s="73">
        <v>0</v>
      </c>
      <c r="Q51" s="26">
        <v>0</v>
      </c>
      <c r="R51" s="73">
        <v>602</v>
      </c>
      <c r="S51" s="73">
        <v>1155</v>
      </c>
      <c r="T51" s="27">
        <v>731</v>
      </c>
      <c r="U51" s="73">
        <v>1122</v>
      </c>
      <c r="V51" s="102">
        <v>915.00000000000011</v>
      </c>
      <c r="W51" s="77">
        <v>0</v>
      </c>
      <c r="X51" s="78">
        <v>0</v>
      </c>
      <c r="Y51" s="41">
        <v>0</v>
      </c>
      <c r="Z51" s="73">
        <v>0</v>
      </c>
      <c r="AA51" s="73">
        <v>0</v>
      </c>
      <c r="AB51" s="78">
        <v>364</v>
      </c>
      <c r="AC51" s="73">
        <v>918</v>
      </c>
      <c r="AD51" s="78">
        <v>1112.5000000000002</v>
      </c>
      <c r="AE51" s="23">
        <f>SUM(C51:AD51)</f>
        <v>6919.5</v>
      </c>
    </row>
    <row r="52" spans="1:31" ht="15.5" x14ac:dyDescent="0.35">
      <c r="A52" s="48"/>
      <c r="B52" s="8" t="s">
        <v>63</v>
      </c>
      <c r="C52" s="41">
        <v>0</v>
      </c>
      <c r="D52" s="41" t="e">
        <v>#DIV/0!</v>
      </c>
      <c r="E52" s="97" t="e">
        <v>#DIV/0!</v>
      </c>
      <c r="F52" s="41" t="e">
        <v>#DIV/0!</v>
      </c>
      <c r="G52" s="41" t="e">
        <v>#DIV/0!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97">
        <v>0</v>
      </c>
      <c r="R52" s="87">
        <v>10.582358803986706</v>
      </c>
      <c r="S52" s="87">
        <v>10.962787878787893</v>
      </c>
      <c r="T52" s="105">
        <v>11.278084815321465</v>
      </c>
      <c r="U52" s="87">
        <v>11.303048128342262</v>
      </c>
      <c r="V52" s="106">
        <v>11.109289617486338</v>
      </c>
      <c r="W52" s="108">
        <v>0</v>
      </c>
      <c r="X52" s="78" t="e">
        <v>#DIV/0!</v>
      </c>
      <c r="Y52" s="41" t="e">
        <v>#DIV/0!</v>
      </c>
      <c r="Z52" s="41" t="e">
        <v>#DIV/0!</v>
      </c>
      <c r="AA52" s="41" t="e">
        <v>#DIV/0!</v>
      </c>
      <c r="AB52" s="47">
        <v>9.265549450549436</v>
      </c>
      <c r="AC52" s="41">
        <v>11.044488017429201</v>
      </c>
      <c r="AD52" s="47">
        <v>10.779038202247198</v>
      </c>
      <c r="AE52" s="93">
        <f>+AE50/AE51</f>
        <v>12.39859527422502</v>
      </c>
    </row>
    <row r="53" spans="1:31" x14ac:dyDescent="0.35">
      <c r="A53" s="48"/>
      <c r="B53" s="8" t="s">
        <v>64</v>
      </c>
      <c r="C53" s="73">
        <v>0</v>
      </c>
      <c r="D53" s="73">
        <v>0</v>
      </c>
      <c r="E53" s="10">
        <v>0</v>
      </c>
      <c r="F53" s="73">
        <v>0</v>
      </c>
      <c r="G53" s="73">
        <v>0</v>
      </c>
      <c r="H53" s="73">
        <v>4178.6100000000033</v>
      </c>
      <c r="I53" s="73">
        <v>12071.54</v>
      </c>
      <c r="J53" s="73">
        <v>12535.829999999991</v>
      </c>
      <c r="K53" s="73">
        <v>17643.019999999997</v>
      </c>
      <c r="L53" s="73">
        <v>30624.110000000015</v>
      </c>
      <c r="M53" s="73">
        <v>38071.779999999992</v>
      </c>
      <c r="N53" s="73">
        <v>8413.9000000000015</v>
      </c>
      <c r="O53" s="11">
        <v>0</v>
      </c>
      <c r="P53" s="73">
        <v>11142.95999999999</v>
      </c>
      <c r="Q53" s="10">
        <v>26928.820000000003</v>
      </c>
      <c r="R53" s="73">
        <v>30938.610000000015</v>
      </c>
      <c r="S53" s="73">
        <v>29884.349999999995</v>
      </c>
      <c r="T53" s="20">
        <v>36385.560000000005</v>
      </c>
      <c r="U53" s="73">
        <v>35237.219999999987</v>
      </c>
      <c r="V53" s="12">
        <v>39051.540000000008</v>
      </c>
      <c r="W53" s="77">
        <v>17178.730000000003</v>
      </c>
      <c r="X53" s="78">
        <v>0</v>
      </c>
      <c r="Y53" s="73">
        <v>0</v>
      </c>
      <c r="Z53" s="73">
        <v>0</v>
      </c>
      <c r="AA53" s="73">
        <v>0</v>
      </c>
      <c r="AB53" s="78">
        <v>4642.8999999999833</v>
      </c>
      <c r="AC53" s="73">
        <v>8357.2200000000066</v>
      </c>
      <c r="AD53" s="78">
        <v>20893.050000000007</v>
      </c>
      <c r="AE53" s="23">
        <f>SUM(C53:AD53)</f>
        <v>384179.74999999994</v>
      </c>
    </row>
    <row r="54" spans="1:31" x14ac:dyDescent="0.35">
      <c r="A54" s="48"/>
      <c r="B54" s="8" t="s">
        <v>65</v>
      </c>
      <c r="C54" s="73">
        <v>0</v>
      </c>
      <c r="D54" s="73">
        <v>0</v>
      </c>
      <c r="E54" s="26">
        <v>0</v>
      </c>
      <c r="F54" s="73">
        <v>0</v>
      </c>
      <c r="G54" s="73">
        <v>0</v>
      </c>
      <c r="H54" s="73">
        <v>344</v>
      </c>
      <c r="I54" s="73">
        <v>935.25</v>
      </c>
      <c r="J54" s="73">
        <v>1111.1208333333334</v>
      </c>
      <c r="K54" s="73">
        <v>1424.75</v>
      </c>
      <c r="L54" s="73">
        <v>2526.25</v>
      </c>
      <c r="M54" s="73">
        <v>3160.5</v>
      </c>
      <c r="N54" s="73">
        <v>810</v>
      </c>
      <c r="O54" s="73">
        <v>0</v>
      </c>
      <c r="P54" s="73">
        <v>1016.4</v>
      </c>
      <c r="Q54" s="26">
        <v>2676.3333333333335</v>
      </c>
      <c r="R54" s="73">
        <v>2880</v>
      </c>
      <c r="S54" s="73">
        <v>2762.5</v>
      </c>
      <c r="T54" s="27">
        <v>2830.4000000000005</v>
      </c>
      <c r="U54" s="73">
        <v>3148.0000000000005</v>
      </c>
      <c r="V54" s="102">
        <v>3528.0000000000005</v>
      </c>
      <c r="W54" s="77">
        <v>1563.5</v>
      </c>
      <c r="X54" s="78">
        <v>0</v>
      </c>
      <c r="Y54" s="73">
        <v>0</v>
      </c>
      <c r="Z54" s="73">
        <v>0</v>
      </c>
      <c r="AA54" s="73">
        <v>0</v>
      </c>
      <c r="AB54" s="78">
        <v>464</v>
      </c>
      <c r="AC54" s="73">
        <v>752</v>
      </c>
      <c r="AD54" s="78">
        <v>1945</v>
      </c>
      <c r="AE54" s="23">
        <f>SUM(C54:AD54)</f>
        <v>33878.004166666666</v>
      </c>
    </row>
    <row r="55" spans="1:31" ht="15.5" x14ac:dyDescent="0.35">
      <c r="A55" s="48"/>
      <c r="B55" s="8" t="s">
        <v>66</v>
      </c>
      <c r="C55" s="47">
        <v>0</v>
      </c>
      <c r="D55" s="47" t="e">
        <v>#DIV/0!</v>
      </c>
      <c r="E55" s="41" t="e">
        <v>#DIV/0!</v>
      </c>
      <c r="F55" s="47" t="e">
        <v>#DIV/0!</v>
      </c>
      <c r="G55" s="47" t="e">
        <v>#DIV/0!</v>
      </c>
      <c r="H55" s="47">
        <v>12.147122093023265</v>
      </c>
      <c r="I55" s="47">
        <v>12.907286821705426</v>
      </c>
      <c r="J55" s="47">
        <v>11.282148281202531</v>
      </c>
      <c r="K55" s="47">
        <v>12.383239164765746</v>
      </c>
      <c r="L55" s="47">
        <v>12.122359228104905</v>
      </c>
      <c r="M55" s="47">
        <v>12.04612561303591</v>
      </c>
      <c r="N55" s="47">
        <v>10.387530864197533</v>
      </c>
      <c r="O55" s="47">
        <v>0</v>
      </c>
      <c r="P55" s="47">
        <v>10.963164108618644</v>
      </c>
      <c r="Q55" s="41">
        <v>10.061833354091419</v>
      </c>
      <c r="R55" s="47">
        <v>10.742572916666672</v>
      </c>
      <c r="S55" s="47">
        <v>10.817864253393664</v>
      </c>
      <c r="T55" s="105">
        <v>12.855271339739966</v>
      </c>
      <c r="U55" s="41">
        <v>11.193526048284619</v>
      </c>
      <c r="V55" s="106">
        <v>11.069030612244898</v>
      </c>
      <c r="W55" s="50">
        <v>10.98735529261273</v>
      </c>
      <c r="X55" s="47" t="e">
        <v>#DIV/0!</v>
      </c>
      <c r="Y55" s="87" t="e">
        <v>#DIV/0!</v>
      </c>
      <c r="Z55" s="87" t="e">
        <v>#DIV/0!</v>
      </c>
      <c r="AA55" s="87" t="e">
        <v>#DIV/0!</v>
      </c>
      <c r="AB55" s="109">
        <v>10.006249999999964</v>
      </c>
      <c r="AC55" s="87">
        <v>11.113324468085116</v>
      </c>
      <c r="AD55" s="109">
        <v>10.741928020565556</v>
      </c>
      <c r="AE55" s="93">
        <f>+AE53/AE54</f>
        <v>11.340093947387937</v>
      </c>
    </row>
    <row r="56" spans="1:31" x14ac:dyDescent="0.35">
      <c r="A56" s="48"/>
      <c r="B56" s="8" t="s">
        <v>67</v>
      </c>
      <c r="C56" s="10">
        <v>113109.00770975057</v>
      </c>
      <c r="D56" s="10">
        <v>103615.12996389937</v>
      </c>
      <c r="E56" s="26" t="e">
        <v>#DIV/0!</v>
      </c>
      <c r="F56" s="10" t="e">
        <v>#DIV/0!</v>
      </c>
      <c r="G56" s="10">
        <v>107310.25048770971</v>
      </c>
      <c r="H56" s="10">
        <v>126419.46068409672</v>
      </c>
      <c r="I56" s="10">
        <v>269156.39800627652</v>
      </c>
      <c r="J56" s="10">
        <v>235054.08087178669</v>
      </c>
      <c r="K56" s="10">
        <v>238202.86142322098</v>
      </c>
      <c r="L56" s="10">
        <v>215142.43265382695</v>
      </c>
      <c r="M56" s="10">
        <v>209917.76785498491</v>
      </c>
      <c r="N56" s="10">
        <v>106677.15498442367</v>
      </c>
      <c r="O56" s="10">
        <v>100244.75847287341</v>
      </c>
      <c r="P56" s="10">
        <v>109081.40780599798</v>
      </c>
      <c r="Q56" s="26">
        <v>108765.23823884198</v>
      </c>
      <c r="R56" s="10">
        <v>112621.31878227455</v>
      </c>
      <c r="S56" s="10">
        <v>111249.45144521882</v>
      </c>
      <c r="T56" s="27">
        <v>121168.8272977172</v>
      </c>
      <c r="U56" s="10">
        <v>115463.25691699605</v>
      </c>
      <c r="V56" s="102">
        <v>112759.82844243792</v>
      </c>
      <c r="W56" s="21">
        <v>124950.01687866928</v>
      </c>
      <c r="X56" s="22">
        <v>104846.95788604459</v>
      </c>
      <c r="Y56" s="10">
        <v>109893.96306306306</v>
      </c>
      <c r="Z56" s="10">
        <v>118096.45493562231</v>
      </c>
      <c r="AA56" s="10">
        <v>107302.00712458897</v>
      </c>
      <c r="AB56" s="22">
        <v>97555.073204230153</v>
      </c>
      <c r="AC56" s="10">
        <v>108747.82993294339</v>
      </c>
      <c r="AD56" s="22">
        <v>106605.20609915588</v>
      </c>
      <c r="AE56" s="23" t="e">
        <f>SUM(C56:AD56)</f>
        <v>#DIV/0!</v>
      </c>
    </row>
    <row r="57" spans="1:31" x14ac:dyDescent="0.35">
      <c r="A57" s="48"/>
      <c r="B57" s="8" t="s">
        <v>68</v>
      </c>
      <c r="C57" s="10">
        <v>20013</v>
      </c>
      <c r="D57" s="10">
        <v>6429</v>
      </c>
      <c r="E57" s="10">
        <v>4622</v>
      </c>
      <c r="F57" s="10">
        <v>4681</v>
      </c>
      <c r="G57" s="10">
        <v>12656</v>
      </c>
      <c r="H57" s="10">
        <v>22004</v>
      </c>
      <c r="I57" s="10">
        <v>24952</v>
      </c>
      <c r="J57" s="10">
        <v>27384</v>
      </c>
      <c r="K57" s="10">
        <v>28901</v>
      </c>
      <c r="L57" s="10">
        <v>34006</v>
      </c>
      <c r="M57" s="10">
        <v>34781</v>
      </c>
      <c r="N57" s="10">
        <v>14426</v>
      </c>
      <c r="O57" s="10">
        <v>23683</v>
      </c>
      <c r="P57" s="10">
        <v>26501</v>
      </c>
      <c r="Q57" s="10">
        <v>26814</v>
      </c>
      <c r="R57" s="10">
        <v>29035</v>
      </c>
      <c r="S57" s="10">
        <v>33480</v>
      </c>
      <c r="T57" s="20">
        <v>34756</v>
      </c>
      <c r="U57" s="10">
        <v>36385</v>
      </c>
      <c r="V57" s="12">
        <v>36867</v>
      </c>
      <c r="W57" s="21">
        <v>24139</v>
      </c>
      <c r="X57" s="22">
        <v>18791</v>
      </c>
      <c r="Y57" s="10">
        <v>13832</v>
      </c>
      <c r="Z57" s="10">
        <v>19374</v>
      </c>
      <c r="AA57" s="10">
        <v>22222</v>
      </c>
      <c r="AB57" s="22">
        <v>27995</v>
      </c>
      <c r="AC57" s="10">
        <v>25802</v>
      </c>
      <c r="AD57" s="22">
        <v>31554</v>
      </c>
      <c r="AE57" s="23">
        <f>SUM(C57:AD57)</f>
        <v>666085</v>
      </c>
    </row>
    <row r="58" spans="1:31" ht="15.5" x14ac:dyDescent="0.35">
      <c r="A58" s="48"/>
      <c r="B58" s="8" t="s">
        <v>69</v>
      </c>
      <c r="C58" s="41">
        <v>4.538095238095238</v>
      </c>
      <c r="D58" s="41">
        <v>11.604693140794224</v>
      </c>
      <c r="E58" s="97" t="e">
        <v>#DIV/0!</v>
      </c>
      <c r="F58" s="41" t="e">
        <v>#DIV/0!</v>
      </c>
      <c r="G58" s="41">
        <v>4.9379633242294183</v>
      </c>
      <c r="H58" s="41">
        <v>4.325535679182229</v>
      </c>
      <c r="I58" s="41">
        <v>4.606239616023629</v>
      </c>
      <c r="J58" s="41">
        <v>4.3723455213156637</v>
      </c>
      <c r="K58" s="41">
        <v>4.5101435705368287</v>
      </c>
      <c r="L58" s="41">
        <v>4.2528764382191095</v>
      </c>
      <c r="M58" s="41">
        <v>4.2031419939577042</v>
      </c>
      <c r="N58" s="41">
        <v>5.6176012461059193</v>
      </c>
      <c r="O58" s="41">
        <v>3.1725385130609509</v>
      </c>
      <c r="P58" s="41">
        <v>3.802697661070455</v>
      </c>
      <c r="Q58" s="97">
        <v>4.0431242460796142</v>
      </c>
      <c r="R58" s="41">
        <v>3.4868500060045635</v>
      </c>
      <c r="S58" s="41">
        <v>3.8249742945275904</v>
      </c>
      <c r="T58" s="105">
        <v>4.1539380901159317</v>
      </c>
      <c r="U58" s="41">
        <v>3.9948397013614403</v>
      </c>
      <c r="V58" s="106">
        <v>4.1610609480812641</v>
      </c>
      <c r="W58" s="50">
        <v>3.9365622961513371</v>
      </c>
      <c r="X58" s="47">
        <v>3.8792320396366637</v>
      </c>
      <c r="Y58" s="41">
        <v>6.2306306306306309</v>
      </c>
      <c r="Z58" s="41">
        <v>4.3763270838039308</v>
      </c>
      <c r="AA58" s="41">
        <v>4.0595542564852032</v>
      </c>
      <c r="AB58" s="47">
        <v>3.8449388820217005</v>
      </c>
      <c r="AC58" s="41">
        <v>3.6812669425024969</v>
      </c>
      <c r="AD58" s="47">
        <v>3.7515158720722863</v>
      </c>
      <c r="AE58" s="93">
        <f>AE57/AE31</f>
        <v>4.1677199349267928</v>
      </c>
    </row>
    <row r="59" spans="1:31" x14ac:dyDescent="0.35">
      <c r="A59" s="48" t="s">
        <v>12</v>
      </c>
      <c r="B59" s="110" t="s">
        <v>70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73">
        <v>0</v>
      </c>
      <c r="L59" s="73">
        <v>0</v>
      </c>
      <c r="M59" s="73">
        <v>0</v>
      </c>
      <c r="N59" s="73">
        <v>0</v>
      </c>
      <c r="O59" s="73">
        <v>0</v>
      </c>
      <c r="P59" s="10">
        <v>0</v>
      </c>
      <c r="Q59" s="10">
        <v>0</v>
      </c>
      <c r="R59" s="10">
        <v>0</v>
      </c>
      <c r="S59" s="10">
        <v>0</v>
      </c>
      <c r="T59" s="20">
        <v>0</v>
      </c>
      <c r="U59" s="10">
        <v>0</v>
      </c>
      <c r="V59" s="12">
        <v>0</v>
      </c>
      <c r="W59" s="21">
        <v>0</v>
      </c>
      <c r="X59" s="22">
        <v>0</v>
      </c>
      <c r="Y59" s="10">
        <v>0</v>
      </c>
      <c r="Z59" s="10">
        <v>0</v>
      </c>
      <c r="AA59" s="10">
        <v>0</v>
      </c>
      <c r="AB59" s="22">
        <v>0</v>
      </c>
      <c r="AC59" s="10">
        <v>0</v>
      </c>
      <c r="AD59" s="78">
        <v>0</v>
      </c>
      <c r="AE59" s="111">
        <f>SUM(C59:AD59)</f>
        <v>0</v>
      </c>
    </row>
    <row r="60" spans="1:31" x14ac:dyDescent="0.35">
      <c r="A60" s="48"/>
      <c r="B60" s="110" t="s">
        <v>71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73">
        <v>0</v>
      </c>
      <c r="L60" s="73">
        <v>0</v>
      </c>
      <c r="M60" s="73">
        <v>0</v>
      </c>
      <c r="N60" s="73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20">
        <v>0</v>
      </c>
      <c r="U60" s="10">
        <v>0</v>
      </c>
      <c r="V60" s="16">
        <v>0</v>
      </c>
      <c r="W60" s="21">
        <v>0</v>
      </c>
      <c r="X60" s="15">
        <v>0</v>
      </c>
      <c r="Y60" s="10">
        <v>0</v>
      </c>
      <c r="Z60" s="10">
        <v>0</v>
      </c>
      <c r="AA60" s="10">
        <v>0</v>
      </c>
      <c r="AB60" s="22">
        <v>0</v>
      </c>
      <c r="AC60" s="10">
        <v>0</v>
      </c>
      <c r="AD60" s="78">
        <v>0</v>
      </c>
      <c r="AE60" s="111">
        <f>(0.84*AE6)-AE59</f>
        <v>200284.56</v>
      </c>
    </row>
  </sheetData>
  <mergeCells count="6">
    <mergeCell ref="AE2:AE3"/>
    <mergeCell ref="A6:A15"/>
    <mergeCell ref="A16:A20"/>
    <mergeCell ref="A22:A34"/>
    <mergeCell ref="A35:A58"/>
    <mergeCell ref="A59:A60"/>
  </mergeCells>
  <conditionalFormatting sqref="C2:AD2">
    <cfRule type="expression" dxfId="0" priority="1">
      <formula>OR(+C$6="dim")</formula>
    </cfRule>
  </conditionalFormatting>
  <dataValidations count="1">
    <dataValidation type="list" showInputMessage="1" showErrorMessage="1" sqref="V3 Q3 T3">
      <formula1>"G10 MC,G10 MP,MC&amp;MP,TBT,BG10,BG11,BGAD,BG22, ,Arrêt,MC&amp;BG22:"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2026-07-09T10:06:35Z</dcterms:created>
  <dcterms:modified xsi:type="dcterms:W3CDTF">2026-07-09T10:29:19Z</dcterms:modified>
</cp:coreProperties>
</file>