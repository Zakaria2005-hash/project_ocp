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bookViews>
    <workbookView xWindow="0" yWindow="0" windowWidth="19200" windowHeight="818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H61" i="1" l="1"/>
  <c r="AH59" i="1"/>
  <c r="AH60" i="1" s="1"/>
  <c r="AH58" i="1"/>
  <c r="AH57" i="1"/>
  <c r="AH56" i="1"/>
  <c r="AH55" i="1"/>
  <c r="AH54" i="1"/>
  <c r="AH53" i="1"/>
  <c r="AH52" i="1"/>
  <c r="AH50" i="1"/>
  <c r="AH49" i="1"/>
  <c r="AH51" i="1" s="1"/>
  <c r="AH48" i="1"/>
  <c r="AH47" i="1"/>
  <c r="AH46" i="1"/>
  <c r="AH45" i="1"/>
  <c r="AH44" i="1"/>
  <c r="AH43" i="1"/>
  <c r="AH42" i="1"/>
  <c r="AH41" i="1"/>
  <c r="AH40" i="1"/>
  <c r="AH39" i="1"/>
  <c r="AH38" i="1"/>
  <c r="AH37" i="1"/>
  <c r="AH36" i="1"/>
  <c r="AH35" i="1"/>
  <c r="AH34" i="1"/>
  <c r="AH33" i="1"/>
  <c r="AH25" i="1" s="1"/>
  <c r="AH32" i="1"/>
  <c r="AH31" i="1"/>
  <c r="AH22" i="1" s="1"/>
  <c r="AH30" i="1"/>
  <c r="AH29" i="1"/>
  <c r="AH28" i="1"/>
  <c r="AH27" i="1"/>
  <c r="AH26" i="1"/>
  <c r="AH23" i="1"/>
  <c r="AH21" i="1"/>
  <c r="AH20" i="1"/>
  <c r="AH19" i="1" s="1"/>
  <c r="AH18" i="1"/>
  <c r="AH17" i="1"/>
  <c r="AH16" i="1"/>
  <c r="AH15" i="1"/>
  <c r="AH13" i="1"/>
  <c r="AH14" i="1" s="1"/>
  <c r="AH11" i="1"/>
  <c r="AH10" i="1"/>
  <c r="AH9" i="1"/>
  <c r="AH8" i="1"/>
  <c r="AH7" i="1"/>
  <c r="AH6" i="1"/>
  <c r="AH62" i="1" s="1"/>
  <c r="AH5" i="1"/>
  <c r="AH4" i="1"/>
  <c r="AH12" i="1" s="1"/>
  <c r="D2" i="1"/>
  <c r="E2" i="1" l="1"/>
  <c r="AH24" i="1"/>
  <c r="F2" i="1" l="1"/>
  <c r="G2" i="1" l="1"/>
  <c r="H2" i="1" l="1"/>
  <c r="I2" i="1" l="1"/>
  <c r="J2" i="1" l="1"/>
  <c r="K2" i="1" l="1"/>
  <c r="L2" i="1" l="1"/>
  <c r="M2" i="1" l="1"/>
  <c r="N2" i="1" l="1"/>
  <c r="O2" i="1" l="1"/>
  <c r="P2" i="1" l="1"/>
  <c r="Q2" i="1" l="1"/>
  <c r="R2" i="1" l="1"/>
  <c r="S2" i="1" l="1"/>
  <c r="T2" i="1" l="1"/>
  <c r="U2" i="1" l="1"/>
  <c r="V2" i="1" l="1"/>
  <c r="W2" i="1" l="1"/>
  <c r="X2" i="1" l="1"/>
  <c r="Y2" i="1" l="1"/>
  <c r="Z2" i="1" l="1"/>
  <c r="AA2" i="1" l="1"/>
  <c r="AB2" i="1" l="1"/>
  <c r="AC2" i="1" l="1"/>
  <c r="AD2" i="1" l="1"/>
  <c r="AE2" i="1" l="1"/>
  <c r="AF2" i="1" l="1"/>
  <c r="AG2" i="1" l="1"/>
</calcChain>
</file>

<file path=xl/sharedStrings.xml><?xml version="1.0" encoding="utf-8"?>
<sst xmlns="http://schemas.openxmlformats.org/spreadsheetml/2006/main" count="130" uniqueCount="79">
  <si>
    <t>TOTAL</t>
  </si>
  <si>
    <t>Qualité traitée</t>
  </si>
  <si>
    <t>MP/MC</t>
  </si>
  <si>
    <t>MP/MC/BG10</t>
  </si>
  <si>
    <t>MC</t>
  </si>
  <si>
    <t>MC/MP</t>
  </si>
  <si>
    <t>MC/BG10</t>
  </si>
  <si>
    <t>Alimentation par camions (T)</t>
  </si>
  <si>
    <t>quantité d'eau drainage(m3)</t>
  </si>
  <si>
    <t>Tonnage G10 + BG10 (T)</t>
  </si>
  <si>
    <t>Tonnage G10 (T)</t>
  </si>
  <si>
    <t>Tonnage BG10 (T)</t>
  </si>
  <si>
    <t>Débit horaire (T/H)</t>
  </si>
  <si>
    <t>Alimentation par chargeuse</t>
  </si>
  <si>
    <t>G10 (T)</t>
  </si>
  <si>
    <t>% G10 Chargeuse</t>
  </si>
  <si>
    <t xml:space="preserve"> BT (T)</t>
  </si>
  <si>
    <t>% BT Chargeuse</t>
  </si>
  <si>
    <t>HM</t>
  </si>
  <si>
    <t>Tonnage transporté (T)</t>
  </si>
  <si>
    <t>Tonnage transporté G10 (T)</t>
  </si>
  <si>
    <t>Tonnage transporté MT (T)</t>
  </si>
  <si>
    <t>Débit (T/H)</t>
  </si>
  <si>
    <t>Stockage Local  (T)</t>
  </si>
  <si>
    <t>Débit horaire par four (T/H)</t>
  </si>
  <si>
    <t>Débit horaire par four  en MC(T/H)</t>
  </si>
  <si>
    <t>Débit horaire par four en MP (T/H)</t>
  </si>
  <si>
    <t>Débit horaire par four en BG10 (T/H)</t>
  </si>
  <si>
    <t>Tonnage dosage</t>
  </si>
  <si>
    <t>Humidité entrée %</t>
  </si>
  <si>
    <t>Humidité sortie MC %</t>
  </si>
  <si>
    <t>Humidité sortie MP %</t>
  </si>
  <si>
    <t>Humidité sortie BG10 %</t>
  </si>
  <si>
    <t>Production totale</t>
  </si>
  <si>
    <t>Production MC</t>
  </si>
  <si>
    <t>Production MP</t>
  </si>
  <si>
    <t>Production BG10</t>
  </si>
  <si>
    <t>Production BG22</t>
  </si>
  <si>
    <t>HM en MC</t>
  </si>
  <si>
    <t>HM en MP</t>
  </si>
  <si>
    <t>HM en BG10</t>
  </si>
  <si>
    <t>HM en BG22</t>
  </si>
  <si>
    <t>HM Four N°1</t>
  </si>
  <si>
    <t>HM Four N°2</t>
  </si>
  <si>
    <t>HM Four N°3</t>
  </si>
  <si>
    <t>HM Four N°4</t>
  </si>
  <si>
    <t>HM Four N°5</t>
  </si>
  <si>
    <t>HM Four N°6</t>
  </si>
  <si>
    <t>HM Four N°7</t>
  </si>
  <si>
    <t>HM Four N°8</t>
  </si>
  <si>
    <t>Consommation GAZ (Nm3)</t>
  </si>
  <si>
    <t>Tonnage traité gaz</t>
  </si>
  <si>
    <t>Cs Gas (Nm3/T)</t>
  </si>
  <si>
    <t>Consommation gazoline (kg)</t>
  </si>
  <si>
    <t>Tonnage traité gazoline</t>
  </si>
  <si>
    <t>Cs gazoline (kg/T)</t>
  </si>
  <si>
    <t>Consommation Fuel (kg)</t>
  </si>
  <si>
    <t>Tonnage traité fuel</t>
  </si>
  <si>
    <t>Cs Fuel (kg/T)</t>
  </si>
  <si>
    <t xml:space="preserve">Consommation d'énergie (kcal/T) </t>
  </si>
  <si>
    <t>Consommation Electricité (kwh)</t>
  </si>
  <si>
    <t>Cs électricité (Kwh/T)</t>
  </si>
  <si>
    <t>Production UL</t>
  </si>
  <si>
    <t>Ecart  reprise RP3 production UL</t>
  </si>
  <si>
    <t>Qualité</t>
  </si>
  <si>
    <t>Produit G10</t>
  </si>
  <si>
    <t>stock LF</t>
  </si>
  <si>
    <t>Roue pelle TAIM</t>
  </si>
  <si>
    <t>Liaison US-UC</t>
  </si>
  <si>
    <t>Production</t>
  </si>
  <si>
    <t>Performance</t>
  </si>
  <si>
    <t>lun</t>
  </si>
  <si>
    <t>mar.</t>
  </si>
  <si>
    <t>mer.</t>
  </si>
  <si>
    <t>jeu.</t>
  </si>
  <si>
    <t>ven.</t>
  </si>
  <si>
    <t>sam.</t>
  </si>
  <si>
    <t>dim.</t>
  </si>
  <si>
    <t>lun.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</si>
</sst>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-* #,##0.00\ _€_-;\-* #,##0.00\ _€_-;_-* &quot;-&quot;??\ _€_-;_-@_-"/>
    <numFmt numFmtId="164" formatCode="0.0"/>
    <numFmt numFmtId="165" formatCode="_-* #,##0.000_-;\-* #,##0.000_-;_-* &quot;-&quot;??_-;_-@_-"/>
    <numFmt numFmtId="166" formatCode="0.0%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Times New Roman"/>
      <family val="1"/>
    </font>
    <font>
      <b/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rgb="FF0070C0"/>
      <name val="Times New Roman"/>
      <family val="1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8">
    <xf numFmtId="0" fontId="0" fillId="0" borderId="0" xfId="0"/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3" fillId="0" borderId="0" xfId="0" applyFont="1" applyAlignment="1" applyProtection="1">
      <alignment horizontal="center" vertical="center"/>
      <protection locked="0"/>
    </xf>
    <xf numFmtId="14" fontId="0" fillId="2" borderId="1" xfId="0" applyNumberFormat="1" applyFill="1" applyBorder="1" applyAlignment="1">
      <alignment horizontal="center"/>
    </xf>
    <xf numFmtId="1" fontId="4" fillId="3" borderId="2" xfId="0" applyNumberFormat="1" applyFont="1" applyFill="1" applyBorder="1" applyAlignment="1" applyProtection="1">
      <alignment horizontal="center" vertical="center"/>
      <protection locked="0"/>
    </xf>
    <xf numFmtId="0" fontId="5" fillId="2" borderId="1" xfId="0" applyFont="1" applyFill="1" applyBorder="1" applyProtection="1">
      <protection locked="0"/>
    </xf>
    <xf numFmtId="1" fontId="2" fillId="0" borderId="1" xfId="0" applyNumberFormat="1" applyFont="1" applyBorder="1" applyAlignment="1">
      <alignment horizontal="center"/>
    </xf>
    <xf numFmtId="1" fontId="6" fillId="4" borderId="1" xfId="0" applyNumberFormat="1" applyFont="1" applyFill="1" applyBorder="1" applyAlignment="1" applyProtection="1">
      <alignment horizontal="center"/>
      <protection locked="0"/>
    </xf>
    <xf numFmtId="1" fontId="6" fillId="0" borderId="1" xfId="0" applyNumberFormat="1" applyFont="1" applyBorder="1" applyAlignment="1">
      <alignment horizontal="center"/>
    </xf>
    <xf numFmtId="1" fontId="2" fillId="4" borderId="1" xfId="0" applyNumberFormat="1" applyFont="1" applyFill="1" applyBorder="1" applyAlignment="1" applyProtection="1">
      <alignment horizontal="center"/>
      <protection locked="0"/>
    </xf>
    <xf numFmtId="1" fontId="4" fillId="3" borderId="4" xfId="0" applyNumberFormat="1" applyFont="1" applyFill="1" applyBorder="1" applyAlignment="1" applyProtection="1">
      <alignment horizontal="center" vertical="center"/>
      <protection locked="0"/>
    </xf>
    <xf numFmtId="1" fontId="0" fillId="4" borderId="1" xfId="0" applyNumberFormat="1" applyFill="1" applyBorder="1" applyAlignment="1" applyProtection="1">
      <alignment horizontal="center"/>
      <protection locked="0"/>
    </xf>
    <xf numFmtId="3" fontId="7" fillId="0" borderId="1" xfId="0" applyNumberFormat="1" applyFont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/>
    </xf>
    <xf numFmtId="0" fontId="0" fillId="4" borderId="1" xfId="0" applyFill="1" applyBorder="1" applyAlignment="1" applyProtection="1">
      <alignment horizontal="center"/>
      <protection locked="0"/>
    </xf>
    <xf numFmtId="9" fontId="2" fillId="0" borderId="1" xfId="0" applyNumberFormat="1" applyFont="1" applyBorder="1" applyAlignment="1">
      <alignment horizontal="center"/>
    </xf>
    <xf numFmtId="10" fontId="7" fillId="0" borderId="1" xfId="0" applyNumberFormat="1" applyFont="1" applyBorder="1" applyAlignment="1">
      <alignment horizontal="center" vertical="center"/>
    </xf>
    <xf numFmtId="9" fontId="0" fillId="4" borderId="1" xfId="0" applyNumberFormat="1" applyFill="1" applyBorder="1" applyAlignment="1" applyProtection="1">
      <alignment horizontal="center"/>
      <protection locked="0"/>
    </xf>
    <xf numFmtId="2" fontId="0" fillId="4" borderId="1" xfId="0" applyNumberFormat="1" applyFill="1" applyBorder="1" applyAlignment="1" applyProtection="1">
      <alignment horizontal="center"/>
      <protection locked="0"/>
    </xf>
    <xf numFmtId="3" fontId="7" fillId="4" borderId="1" xfId="0" applyNumberFormat="1" applyFont="1" applyFill="1" applyBorder="1" applyAlignment="1">
      <alignment horizontal="center" vertical="center"/>
    </xf>
    <xf numFmtId="43" fontId="0" fillId="4" borderId="1" xfId="1" applyFont="1" applyFill="1" applyBorder="1" applyAlignment="1" applyProtection="1">
      <alignment horizontal="right" indent="1"/>
      <protection locked="0"/>
    </xf>
    <xf numFmtId="1" fontId="7" fillId="0" borderId="1" xfId="2" applyNumberFormat="1" applyFont="1" applyFill="1" applyBorder="1" applyAlignment="1" applyProtection="1">
      <alignment horizontal="center" vertical="center"/>
    </xf>
    <xf numFmtId="1" fontId="7" fillId="4" borderId="1" xfId="2" applyNumberFormat="1" applyFont="1" applyFill="1" applyBorder="1" applyAlignment="1" applyProtection="1">
      <alignment horizontal="center" vertical="center"/>
    </xf>
    <xf numFmtId="1" fontId="6" fillId="4" borderId="3" xfId="0" applyNumberFormat="1" applyFont="1" applyFill="1" applyBorder="1" applyAlignment="1">
      <alignment horizontal="center"/>
    </xf>
    <xf numFmtId="10" fontId="0" fillId="4" borderId="1" xfId="2" applyNumberFormat="1" applyFont="1" applyFill="1" applyBorder="1" applyAlignment="1" applyProtection="1">
      <alignment horizontal="center"/>
      <protection locked="0"/>
    </xf>
    <xf numFmtId="10" fontId="0" fillId="4" borderId="1" xfId="0" quotePrefix="1" applyNumberFormat="1" applyFill="1" applyBorder="1" applyAlignment="1" applyProtection="1">
      <alignment horizontal="center"/>
      <protection locked="0"/>
    </xf>
    <xf numFmtId="10" fontId="0" fillId="4" borderId="1" xfId="0" applyNumberFormat="1" applyFill="1" applyBorder="1" applyAlignment="1" applyProtection="1">
      <alignment horizontal="center"/>
      <protection locked="0"/>
    </xf>
    <xf numFmtId="1" fontId="0" fillId="0" borderId="1" xfId="0" applyNumberFormat="1" applyBorder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 vertical="center"/>
      <protection locked="0"/>
    </xf>
    <xf numFmtId="1" fontId="0" fillId="0" borderId="1" xfId="0" applyNumberFormat="1" applyBorder="1" applyAlignment="1">
      <alignment horizontal="center"/>
    </xf>
    <xf numFmtId="2" fontId="0" fillId="0" borderId="1" xfId="0" applyNumberFormat="1" applyBorder="1" applyAlignment="1" applyProtection="1">
      <alignment horizontal="center"/>
      <protection locked="0"/>
    </xf>
    <xf numFmtId="2" fontId="0" fillId="0" borderId="1" xfId="0" applyNumberFormat="1" applyBorder="1" applyAlignment="1">
      <alignment horizontal="center"/>
    </xf>
    <xf numFmtId="4" fontId="7" fillId="0" borderId="1" xfId="0" applyNumberFormat="1" applyFont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/>
    </xf>
    <xf numFmtId="1" fontId="8" fillId="4" borderId="1" xfId="0" applyNumberFormat="1" applyFont="1" applyFill="1" applyBorder="1" applyAlignment="1" applyProtection="1">
      <alignment horizontal="center"/>
      <protection locked="0"/>
    </xf>
    <xf numFmtId="2" fontId="7" fillId="0" borderId="1" xfId="0" applyNumberFormat="1" applyFont="1" applyBorder="1" applyAlignment="1">
      <alignment horizontal="center" vertical="center"/>
    </xf>
    <xf numFmtId="2" fontId="0" fillId="4" borderId="1" xfId="0" applyNumberFormat="1" applyFill="1" applyBorder="1" applyAlignment="1" applyProtection="1">
      <alignment horizontal="center" vertical="center"/>
      <protection locked="0"/>
    </xf>
    <xf numFmtId="0" fontId="5" fillId="2" borderId="1" xfId="0" applyFont="1" applyFill="1" applyBorder="1" applyAlignment="1" applyProtection="1">
      <alignment horizontal="left" vertical="center"/>
      <protection locked="0"/>
    </xf>
    <xf numFmtId="4" fontId="7" fillId="4" borderId="1" xfId="0" applyNumberFormat="1" applyFont="1" applyFill="1" applyBorder="1" applyAlignment="1">
      <alignment horizontal="center" vertical="center"/>
    </xf>
    <xf numFmtId="1" fontId="10" fillId="0" borderId="1" xfId="0" applyNumberFormat="1" applyFont="1" applyBorder="1" applyAlignment="1">
      <alignment horizontal="center"/>
    </xf>
    <xf numFmtId="1" fontId="10" fillId="0" borderId="1" xfId="0" applyNumberFormat="1" applyFont="1" applyBorder="1" applyAlignment="1" applyProtection="1">
      <alignment horizont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2" fontId="2" fillId="4" borderId="1" xfId="0" applyNumberFormat="1" applyFont="1" applyFill="1" applyBorder="1" applyAlignment="1" applyProtection="1">
      <alignment horizontal="center"/>
      <protection locked="0"/>
    </xf>
    <xf numFmtId="1" fontId="2" fillId="0" borderId="0" xfId="0" applyNumberFormat="1" applyFont="1" applyAlignment="1" applyProtection="1">
      <alignment horizontal="center" vertical="center"/>
      <protection locked="0"/>
    </xf>
    <xf numFmtId="2" fontId="2" fillId="0" borderId="0" xfId="0" applyNumberFormat="1" applyFont="1" applyAlignment="1" applyProtection="1">
      <alignment horizontal="center" vertical="center"/>
      <protection locked="0"/>
    </xf>
    <xf numFmtId="165" fontId="2" fillId="4" borderId="1" xfId="1" applyNumberFormat="1" applyFont="1" applyFill="1" applyBorder="1" applyAlignment="1" applyProtection="1">
      <alignment horizontal="center"/>
      <protection locked="0"/>
    </xf>
    <xf numFmtId="43" fontId="2" fillId="4" borderId="1" xfId="1" applyFont="1" applyFill="1" applyBorder="1" applyAlignment="1" applyProtection="1">
      <alignment horizontal="center"/>
      <protection locked="0"/>
    </xf>
    <xf numFmtId="2" fontId="2" fillId="0" borderId="1" xfId="0" applyNumberFormat="1" applyFont="1" applyBorder="1" applyAlignment="1" applyProtection="1">
      <alignment horizontal="center"/>
      <protection locked="0"/>
    </xf>
    <xf numFmtId="1" fontId="2" fillId="0" borderId="1" xfId="0" applyNumberFormat="1" applyFont="1" applyBorder="1" applyAlignment="1" applyProtection="1">
      <alignment horizontal="center"/>
      <protection locked="0"/>
    </xf>
    <xf numFmtId="1" fontId="11" fillId="4" borderId="1" xfId="0" applyNumberFormat="1" applyFont="1" applyFill="1" applyBorder="1" applyAlignment="1" applyProtection="1">
      <alignment horizontal="center"/>
      <protection locked="0"/>
    </xf>
    <xf numFmtId="2" fontId="2" fillId="4" borderId="1" xfId="0" applyNumberFormat="1" applyFont="1" applyFill="1" applyBorder="1" applyAlignment="1" applyProtection="1">
      <alignment horizontal="center" vertical="center"/>
      <protection locked="0"/>
    </xf>
    <xf numFmtId="2" fontId="9" fillId="0" borderId="1" xfId="0" applyNumberFormat="1" applyFont="1" applyBorder="1" applyAlignment="1">
      <alignment horizontal="center"/>
    </xf>
    <xf numFmtId="2" fontId="10" fillId="0" borderId="1" xfId="0" applyNumberFormat="1" applyFont="1" applyBorder="1" applyAlignment="1">
      <alignment horizontal="center"/>
    </xf>
    <xf numFmtId="2" fontId="9" fillId="4" borderId="1" xfId="0" applyNumberFormat="1" applyFont="1" applyFill="1" applyBorder="1" applyAlignment="1">
      <alignment horizontal="center" vertical="center"/>
    </xf>
    <xf numFmtId="2" fontId="10" fillId="4" borderId="3" xfId="0" applyNumberFormat="1" applyFont="1" applyFill="1" applyBorder="1" applyAlignment="1">
      <alignment horizontal="center" vertical="center"/>
    </xf>
    <xf numFmtId="1" fontId="2" fillId="4" borderId="3" xfId="0" applyNumberFormat="1" applyFont="1" applyFill="1" applyBorder="1" applyAlignment="1" applyProtection="1">
      <alignment horizontal="center"/>
      <protection locked="0"/>
    </xf>
    <xf numFmtId="1" fontId="2" fillId="0" borderId="1" xfId="0" applyNumberFormat="1" applyFont="1" applyBorder="1" applyAlignment="1">
      <alignment horizontal="center" vertical="top"/>
    </xf>
    <xf numFmtId="1" fontId="2" fillId="0" borderId="1" xfId="0" applyNumberFormat="1" applyFont="1" applyBorder="1" applyAlignment="1">
      <alignment horizontal="center" vertical="center"/>
    </xf>
    <xf numFmtId="1" fontId="2" fillId="4" borderId="1" xfId="0" applyNumberFormat="1" applyFont="1" applyFill="1" applyBorder="1" applyAlignment="1" applyProtection="1">
      <alignment horizontal="center" vertical="center"/>
      <protection locked="0"/>
    </xf>
    <xf numFmtId="1" fontId="2" fillId="4" borderId="1" xfId="0" applyNumberFormat="1" applyFont="1" applyFill="1" applyBorder="1" applyAlignment="1">
      <alignment horizontal="center"/>
    </xf>
    <xf numFmtId="0" fontId="2" fillId="4" borderId="1" xfId="0" applyFont="1" applyFill="1" applyBorder="1" applyAlignment="1" applyProtection="1">
      <alignment horizontal="center"/>
      <protection locked="0"/>
    </xf>
    <xf numFmtId="9" fontId="2" fillId="4" borderId="1" xfId="0" applyNumberFormat="1" applyFont="1" applyFill="1" applyBorder="1" applyAlignment="1" applyProtection="1">
      <alignment horizontal="center"/>
      <protection locked="0"/>
    </xf>
    <xf numFmtId="9" fontId="2" fillId="0" borderId="1" xfId="0" applyNumberFormat="1" applyFont="1" applyBorder="1" applyAlignment="1">
      <alignment horizontal="center" vertical="top"/>
    </xf>
    <xf numFmtId="9" fontId="2" fillId="0" borderId="1" xfId="0" applyNumberFormat="1" applyFont="1" applyBorder="1" applyAlignment="1">
      <alignment horizontal="center" vertical="center"/>
    </xf>
    <xf numFmtId="43" fontId="2" fillId="0" borderId="1" xfId="1" applyFont="1" applyBorder="1" applyAlignment="1">
      <alignment horizontal="center" vertical="center"/>
    </xf>
    <xf numFmtId="164" fontId="2" fillId="4" borderId="1" xfId="0" applyNumberFormat="1" applyFont="1" applyFill="1" applyBorder="1" applyAlignment="1" applyProtection="1">
      <alignment horizontal="center"/>
      <protection locked="0"/>
    </xf>
    <xf numFmtId="1" fontId="2" fillId="4" borderId="1" xfId="0" applyNumberFormat="1" applyFont="1" applyFill="1" applyBorder="1" applyAlignment="1">
      <alignment horizontal="center" vertical="top"/>
    </xf>
    <xf numFmtId="1" fontId="2" fillId="4" borderId="1" xfId="0" applyNumberFormat="1" applyFont="1" applyFill="1" applyBorder="1" applyAlignment="1">
      <alignment horizontal="center" vertical="center"/>
    </xf>
    <xf numFmtId="1" fontId="2" fillId="4" borderId="3" xfId="0" applyNumberFormat="1" applyFont="1" applyFill="1" applyBorder="1" applyAlignment="1">
      <alignment horizontal="center"/>
    </xf>
    <xf numFmtId="10" fontId="2" fillId="4" borderId="1" xfId="2" applyNumberFormat="1" applyFont="1" applyFill="1" applyBorder="1" applyAlignment="1" applyProtection="1">
      <alignment horizontal="center"/>
      <protection locked="0"/>
    </xf>
    <xf numFmtId="10" fontId="0" fillId="4" borderId="1" xfId="2" applyNumberFormat="1" applyFont="1" applyFill="1" applyBorder="1" applyAlignment="1" applyProtection="1">
      <alignment horizontal="center" vertical="top"/>
      <protection locked="0"/>
    </xf>
    <xf numFmtId="10" fontId="0" fillId="4" borderId="1" xfId="2" applyNumberFormat="1" applyFont="1" applyFill="1" applyBorder="1" applyAlignment="1" applyProtection="1">
      <alignment horizontal="center" vertical="center"/>
      <protection locked="0"/>
    </xf>
    <xf numFmtId="10" fontId="2" fillId="4" borderId="1" xfId="0" quotePrefix="1" applyNumberFormat="1" applyFont="1" applyFill="1" applyBorder="1" applyAlignment="1" applyProtection="1">
      <alignment horizontal="center"/>
      <protection locked="0"/>
    </xf>
    <xf numFmtId="10" fontId="0" fillId="0" borderId="1" xfId="2" applyNumberFormat="1" applyFont="1" applyBorder="1" applyAlignment="1" applyProtection="1">
      <alignment horizontal="center"/>
      <protection locked="0"/>
    </xf>
    <xf numFmtId="166" fontId="0" fillId="0" borderId="1" xfId="2" applyNumberFormat="1" applyFont="1" applyBorder="1" applyAlignment="1" applyProtection="1">
      <alignment horizontal="center"/>
      <protection locked="0"/>
    </xf>
    <xf numFmtId="2" fontId="2" fillId="0" borderId="1" xfId="0" applyNumberFormat="1" applyFont="1" applyBorder="1" applyAlignment="1">
      <alignment horizontal="center"/>
    </xf>
    <xf numFmtId="2" fontId="2" fillId="4" borderId="1" xfId="0" applyNumberFormat="1" applyFont="1" applyFill="1" applyBorder="1" applyAlignment="1">
      <alignment horizontal="center"/>
    </xf>
    <xf numFmtId="1" fontId="8" fillId="4" borderId="1" xfId="0" applyNumberFormat="1" applyFont="1" applyFill="1" applyBorder="1" applyAlignment="1" applyProtection="1">
      <alignment horizontal="center" vertical="top"/>
      <protection locked="0"/>
    </xf>
    <xf numFmtId="1" fontId="8" fillId="4" borderId="1" xfId="0" applyNumberFormat="1" applyFont="1" applyFill="1" applyBorder="1" applyAlignment="1" applyProtection="1">
      <alignment horizontal="center" vertical="center"/>
      <protection locked="0"/>
    </xf>
    <xf numFmtId="2" fontId="0" fillId="2" borderId="1" xfId="0" applyNumberFormat="1" applyFill="1" applyBorder="1" applyAlignment="1" applyProtection="1">
      <alignment horizontal="center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1" fontId="0" fillId="4" borderId="3" xfId="0" applyNumberFormat="1" applyFill="1" applyBorder="1" applyAlignment="1" applyProtection="1">
      <alignment horizontal="center"/>
      <protection locked="0"/>
    </xf>
    <xf numFmtId="1" fontId="0" fillId="4" borderId="1" xfId="0" applyNumberFormat="1" applyFill="1" applyBorder="1" applyAlignment="1" applyProtection="1">
      <alignment horizontal="center" vertical="top"/>
      <protection locked="0"/>
    </xf>
    <xf numFmtId="1" fontId="0" fillId="4" borderId="1" xfId="0" applyNumberFormat="1" applyFill="1" applyBorder="1" applyAlignment="1" applyProtection="1">
      <alignment horizontal="center" vertical="center"/>
      <protection locked="0"/>
    </xf>
    <xf numFmtId="0" fontId="3" fillId="2" borderId="5" xfId="0" applyFont="1" applyFill="1" applyBorder="1" applyAlignment="1" applyProtection="1">
      <alignment horizontal="center" vertical="center"/>
      <protection locked="0"/>
    </xf>
    <xf numFmtId="0" fontId="3" fillId="2" borderId="6" xfId="0" applyFont="1" applyFill="1" applyBorder="1" applyAlignment="1" applyProtection="1">
      <alignment horizontal="center" vertical="center"/>
      <protection locked="0"/>
    </xf>
    <xf numFmtId="0" fontId="3" fillId="2" borderId="7" xfId="0" applyFont="1" applyFill="1" applyBorder="1" applyAlignment="1" applyProtection="1">
      <alignment horizontal="center" vertical="center"/>
      <protection locked="0"/>
    </xf>
    <xf numFmtId="164" fontId="0" fillId="4" borderId="1" xfId="0" applyNumberFormat="1" applyFill="1" applyBorder="1" applyAlignment="1" applyProtection="1">
      <alignment horizontal="center"/>
      <protection locked="0"/>
    </xf>
    <xf numFmtId="164" fontId="0" fillId="4" borderId="1" xfId="0" applyNumberFormat="1" applyFill="1" applyBorder="1" applyAlignment="1" applyProtection="1">
      <alignment horizontal="center" vertical="top"/>
      <protection locked="0"/>
    </xf>
    <xf numFmtId="164" fontId="0" fillId="4" borderId="1" xfId="0" applyNumberFormat="1" applyFill="1" applyBorder="1" applyAlignment="1" applyProtection="1">
      <alignment horizontal="center" vertical="center"/>
      <protection locked="0"/>
    </xf>
    <xf numFmtId="0" fontId="0" fillId="2" borderId="2" xfId="0" applyFill="1" applyBorder="1" applyAlignment="1" applyProtection="1">
      <alignment horizontal="center" vertical="center"/>
      <protection locked="0"/>
    </xf>
    <xf numFmtId="0" fontId="0" fillId="2" borderId="8" xfId="0" applyFill="1" applyBorder="1" applyAlignment="1" applyProtection="1">
      <alignment horizontal="center" vertical="center"/>
      <protection locked="0"/>
    </xf>
    <xf numFmtId="2" fontId="0" fillId="4" borderId="1" xfId="0" applyNumberFormat="1" applyFill="1" applyBorder="1" applyAlignment="1" applyProtection="1">
      <alignment horizontal="center" vertical="top"/>
      <protection locked="0"/>
    </xf>
    <xf numFmtId="0" fontId="0" fillId="2" borderId="4" xfId="0" applyFill="1" applyBorder="1" applyAlignment="1" applyProtection="1">
      <alignment horizontal="center" vertical="center"/>
      <protection locked="0"/>
    </xf>
    <xf numFmtId="10" fontId="1" fillId="4" borderId="1" xfId="2" applyNumberFormat="1" applyFont="1" applyFill="1" applyBorder="1" applyAlignment="1" applyProtection="1">
      <alignment horizontal="center"/>
      <protection locked="0"/>
    </xf>
    <xf numFmtId="10" fontId="0" fillId="0" borderId="1" xfId="0" applyNumberFormat="1" applyBorder="1" applyAlignment="1" applyProtection="1">
      <alignment horizontal="center"/>
      <protection locked="0"/>
    </xf>
    <xf numFmtId="1" fontId="0" fillId="0" borderId="1" xfId="0" applyNumberFormat="1" applyBorder="1" applyAlignment="1" applyProtection="1">
      <alignment horizontal="center" vertical="top"/>
      <protection locked="0"/>
    </xf>
    <xf numFmtId="1" fontId="0" fillId="0" borderId="1" xfId="0" applyNumberForma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2" borderId="1" xfId="0" applyFill="1" applyBorder="1" applyAlignment="1" applyProtection="1">
      <alignment horizontal="center" vertical="center"/>
      <protection locked="0"/>
    </xf>
    <xf numFmtId="164" fontId="0" fillId="0" borderId="1" xfId="0" applyNumberFormat="1" applyBorder="1" applyAlignment="1" applyProtection="1">
      <alignment horizontal="center"/>
      <protection locked="0"/>
    </xf>
    <xf numFmtId="2" fontId="0" fillId="0" borderId="1" xfId="0" applyNumberFormat="1" applyBorder="1" applyAlignment="1" applyProtection="1">
      <alignment horizontal="center" vertical="top"/>
      <protection locked="0"/>
    </xf>
    <xf numFmtId="2" fontId="0" fillId="0" borderId="1" xfId="0" applyNumberFormat="1" applyBorder="1" applyAlignment="1">
      <alignment horizontal="center" vertical="center"/>
    </xf>
    <xf numFmtId="2" fontId="0" fillId="0" borderId="0" xfId="0" applyNumberFormat="1" applyAlignment="1" applyProtection="1">
      <alignment horizontal="center"/>
      <protection locked="0"/>
    </xf>
    <xf numFmtId="164" fontId="0" fillId="0" borderId="1" xfId="0" applyNumberFormat="1" applyBorder="1" applyAlignment="1" applyProtection="1">
      <alignment horizontal="center" vertical="top"/>
      <protection locked="0"/>
    </xf>
    <xf numFmtId="2" fontId="0" fillId="0" borderId="1" xfId="0" applyNumberFormat="1" applyBorder="1" applyAlignment="1" applyProtection="1">
      <alignment horizontal="center" vertical="center"/>
      <protection locked="0"/>
    </xf>
  </cellXfs>
  <cellStyles count="3">
    <cellStyle name="Milliers" xfId="1" builtinId="3"/>
    <cellStyle name="Normal" xfId="0" builtinId="0"/>
    <cellStyle name="Pourcentage" xfId="2" builtinId="5"/>
  </cellStyles>
  <dxfs count="3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62"/>
  <sheetViews>
    <sheetView tabSelected="1" zoomScaleNormal="100" workbookViewId="0">
      <selection activeCell="E12" sqref="E12"/>
    </sheetView>
  </sheetViews>
  <sheetFormatPr baseColWidth="10" defaultRowHeight="14.5" x14ac:dyDescent="0.35"/>
  <cols>
    <col min="1" max="1" width="15" customWidth="1"/>
    <col min="2" max="2" width="27.453125" customWidth="1"/>
    <col min="3" max="32" width="12.6328125" customWidth="1"/>
  </cols>
  <sheetData>
    <row r="1" spans="1:34" x14ac:dyDescent="0.35">
      <c r="A1" s="2"/>
      <c r="B1" s="1"/>
      <c r="C1" s="80" t="s">
        <v>71</v>
      </c>
      <c r="D1" s="80" t="s">
        <v>72</v>
      </c>
      <c r="E1" s="80" t="s">
        <v>73</v>
      </c>
      <c r="F1" s="80" t="s">
        <v>74</v>
      </c>
      <c r="G1" s="80" t="s">
        <v>75</v>
      </c>
      <c r="H1" s="80" t="s">
        <v>76</v>
      </c>
      <c r="I1" s="80" t="s">
        <v>77</v>
      </c>
      <c r="J1" s="80" t="s">
        <v>78</v>
      </c>
      <c r="K1" s="80" t="s">
        <v>72</v>
      </c>
      <c r="L1" s="80" t="s">
        <v>73</v>
      </c>
      <c r="M1" s="80" t="s">
        <v>74</v>
      </c>
      <c r="N1" s="80" t="s">
        <v>75</v>
      </c>
      <c r="O1" s="80" t="s">
        <v>76</v>
      </c>
      <c r="P1" s="80" t="s">
        <v>77</v>
      </c>
      <c r="Q1" s="80" t="s">
        <v>78</v>
      </c>
      <c r="R1" s="80" t="s">
        <v>72</v>
      </c>
      <c r="S1" s="80" t="s">
        <v>73</v>
      </c>
      <c r="T1" s="80" t="s">
        <v>74</v>
      </c>
      <c r="U1" s="80" t="s">
        <v>75</v>
      </c>
      <c r="V1" s="80" t="s">
        <v>76</v>
      </c>
      <c r="W1" s="80" t="s">
        <v>77</v>
      </c>
      <c r="X1" s="80" t="s">
        <v>78</v>
      </c>
      <c r="Y1" s="80" t="s">
        <v>72</v>
      </c>
      <c r="Z1" s="80" t="s">
        <v>73</v>
      </c>
      <c r="AA1" s="80" t="s">
        <v>74</v>
      </c>
      <c r="AB1" s="80" t="s">
        <v>75</v>
      </c>
      <c r="AC1" s="80" t="s">
        <v>76</v>
      </c>
      <c r="AD1" s="80" t="s">
        <v>77</v>
      </c>
      <c r="AE1" s="80" t="s">
        <v>78</v>
      </c>
      <c r="AF1" s="80" t="s">
        <v>72</v>
      </c>
      <c r="AG1" s="80" t="s">
        <v>73</v>
      </c>
      <c r="AH1" s="2"/>
    </row>
    <row r="2" spans="1:34" x14ac:dyDescent="0.35">
      <c r="A2" s="2"/>
      <c r="B2" s="3"/>
      <c r="C2" s="4">
        <v>46174</v>
      </c>
      <c r="D2" s="4">
        <f>IF(C2+1&gt;EOMONTH(C2,0),"",C2+1)</f>
        <v>46175</v>
      </c>
      <c r="E2" s="4">
        <f t="shared" ref="E2:AG2" si="0">IF(D2+1&gt;EOMONTH(D2,0),"",D2+1)</f>
        <v>46176</v>
      </c>
      <c r="F2" s="4">
        <f t="shared" si="0"/>
        <v>46177</v>
      </c>
      <c r="G2" s="4">
        <f t="shared" si="0"/>
        <v>46178</v>
      </c>
      <c r="H2" s="4">
        <f t="shared" si="0"/>
        <v>46179</v>
      </c>
      <c r="I2" s="4">
        <f t="shared" si="0"/>
        <v>46180</v>
      </c>
      <c r="J2" s="4">
        <f t="shared" si="0"/>
        <v>46181</v>
      </c>
      <c r="K2" s="4">
        <f t="shared" si="0"/>
        <v>46182</v>
      </c>
      <c r="L2" s="4">
        <f t="shared" si="0"/>
        <v>46183</v>
      </c>
      <c r="M2" s="4">
        <f t="shared" si="0"/>
        <v>46184</v>
      </c>
      <c r="N2" s="4">
        <f t="shared" si="0"/>
        <v>46185</v>
      </c>
      <c r="O2" s="4">
        <f t="shared" si="0"/>
        <v>46186</v>
      </c>
      <c r="P2" s="4">
        <f t="shared" si="0"/>
        <v>46187</v>
      </c>
      <c r="Q2" s="4">
        <f t="shared" si="0"/>
        <v>46188</v>
      </c>
      <c r="R2" s="4">
        <f t="shared" si="0"/>
        <v>46189</v>
      </c>
      <c r="S2" s="4">
        <f t="shared" si="0"/>
        <v>46190</v>
      </c>
      <c r="T2" s="4">
        <f t="shared" si="0"/>
        <v>46191</v>
      </c>
      <c r="U2" s="4">
        <f t="shared" si="0"/>
        <v>46192</v>
      </c>
      <c r="V2" s="4">
        <f t="shared" si="0"/>
        <v>46193</v>
      </c>
      <c r="W2" s="4">
        <f t="shared" si="0"/>
        <v>46194</v>
      </c>
      <c r="X2" s="4">
        <f t="shared" si="0"/>
        <v>46195</v>
      </c>
      <c r="Y2" s="4">
        <f t="shared" si="0"/>
        <v>46196</v>
      </c>
      <c r="Z2" s="4">
        <f t="shared" si="0"/>
        <v>46197</v>
      </c>
      <c r="AA2" s="4">
        <f t="shared" si="0"/>
        <v>46198</v>
      </c>
      <c r="AB2" s="4">
        <f t="shared" si="0"/>
        <v>46199</v>
      </c>
      <c r="AC2" s="4">
        <f t="shared" si="0"/>
        <v>46200</v>
      </c>
      <c r="AD2" s="4">
        <f t="shared" si="0"/>
        <v>46201</v>
      </c>
      <c r="AE2" s="4">
        <f t="shared" si="0"/>
        <v>46202</v>
      </c>
      <c r="AF2" s="4">
        <f t="shared" si="0"/>
        <v>46203</v>
      </c>
      <c r="AG2" s="4" t="str">
        <f t="shared" si="0"/>
        <v/>
      </c>
      <c r="AH2" s="5" t="s">
        <v>0</v>
      </c>
    </row>
    <row r="3" spans="1:34" x14ac:dyDescent="0.35">
      <c r="A3" s="81" t="s">
        <v>64</v>
      </c>
      <c r="B3" s="6" t="s">
        <v>1</v>
      </c>
      <c r="C3" s="7" t="s">
        <v>2</v>
      </c>
      <c r="D3" s="10" t="s">
        <v>3</v>
      </c>
      <c r="E3" s="7" t="s">
        <v>2</v>
      </c>
      <c r="F3" s="7" t="s">
        <v>2</v>
      </c>
      <c r="G3" s="7" t="s">
        <v>3</v>
      </c>
      <c r="H3" s="82" t="s">
        <v>3</v>
      </c>
      <c r="I3" s="7" t="s">
        <v>2</v>
      </c>
      <c r="J3" s="7" t="s">
        <v>3</v>
      </c>
      <c r="K3" s="7" t="s">
        <v>3</v>
      </c>
      <c r="L3" s="7" t="s">
        <v>3</v>
      </c>
      <c r="M3" s="7" t="s">
        <v>2</v>
      </c>
      <c r="N3" s="7" t="s">
        <v>3</v>
      </c>
      <c r="O3" s="7" t="s">
        <v>2</v>
      </c>
      <c r="P3" s="7" t="s">
        <v>3</v>
      </c>
      <c r="Q3" s="56" t="s">
        <v>2</v>
      </c>
      <c r="R3" s="7" t="s">
        <v>2</v>
      </c>
      <c r="S3" s="7" t="s">
        <v>2</v>
      </c>
      <c r="T3" s="83" t="s">
        <v>3</v>
      </c>
      <c r="U3" s="7" t="s">
        <v>3</v>
      </c>
      <c r="V3" s="56" t="s">
        <v>3</v>
      </c>
      <c r="W3" s="57" t="s">
        <v>4</v>
      </c>
      <c r="X3" s="58" t="s">
        <v>5</v>
      </c>
      <c r="Y3" s="7" t="s">
        <v>5</v>
      </c>
      <c r="Z3" s="7" t="s">
        <v>6</v>
      </c>
      <c r="AA3" s="10" t="s">
        <v>6</v>
      </c>
      <c r="AB3" s="59" t="s">
        <v>6</v>
      </c>
      <c r="AC3" s="10" t="s">
        <v>5</v>
      </c>
      <c r="AD3" s="59" t="s">
        <v>4</v>
      </c>
      <c r="AE3" s="10" t="s">
        <v>4</v>
      </c>
      <c r="AF3" s="10" t="s">
        <v>6</v>
      </c>
      <c r="AG3" s="10"/>
      <c r="AH3" s="11"/>
    </row>
    <row r="4" spans="1:34" x14ac:dyDescent="0.35">
      <c r="A4" s="81" t="s">
        <v>65</v>
      </c>
      <c r="B4" s="6" t="s">
        <v>7</v>
      </c>
      <c r="C4" s="12">
        <v>0</v>
      </c>
      <c r="D4" s="42">
        <v>2491</v>
      </c>
      <c r="E4" s="12">
        <v>0</v>
      </c>
      <c r="F4" s="12">
        <v>0</v>
      </c>
      <c r="G4" s="12">
        <v>5074</v>
      </c>
      <c r="H4" s="12">
        <v>4674</v>
      </c>
      <c r="I4" s="12">
        <v>0</v>
      </c>
      <c r="J4" s="12">
        <v>4751</v>
      </c>
      <c r="K4" s="12">
        <v>4360</v>
      </c>
      <c r="L4" s="12">
        <v>3957</v>
      </c>
      <c r="M4" s="12">
        <v>0</v>
      </c>
      <c r="N4" s="12">
        <v>4900</v>
      </c>
      <c r="O4" s="12">
        <v>0</v>
      </c>
      <c r="P4" s="12">
        <v>3469</v>
      </c>
      <c r="Q4" s="12">
        <v>0</v>
      </c>
      <c r="R4" s="12">
        <v>0</v>
      </c>
      <c r="S4" s="12">
        <v>0</v>
      </c>
      <c r="T4" s="12">
        <v>0</v>
      </c>
      <c r="U4" s="12">
        <v>0</v>
      </c>
      <c r="V4" s="10">
        <v>0</v>
      </c>
      <c r="W4" s="84">
        <v>0</v>
      </c>
      <c r="X4" s="85">
        <v>0</v>
      </c>
      <c r="Y4" s="12">
        <v>0</v>
      </c>
      <c r="Z4" s="12">
        <v>0</v>
      </c>
      <c r="AA4" s="12">
        <v>0</v>
      </c>
      <c r="AB4" s="85">
        <v>3011</v>
      </c>
      <c r="AC4" s="12">
        <v>0</v>
      </c>
      <c r="AD4" s="85">
        <v>0</v>
      </c>
      <c r="AE4" s="12">
        <v>0</v>
      </c>
      <c r="AF4" s="10">
        <v>6292</v>
      </c>
      <c r="AG4" s="12"/>
      <c r="AH4" s="13">
        <f>SUM(C4:AG4)</f>
        <v>42979</v>
      </c>
    </row>
    <row r="5" spans="1:34" x14ac:dyDescent="0.35">
      <c r="A5" s="81" t="s">
        <v>66</v>
      </c>
      <c r="B5" s="6" t="s">
        <v>8</v>
      </c>
      <c r="C5" s="12">
        <v>1773</v>
      </c>
      <c r="D5" s="10">
        <v>2042</v>
      </c>
      <c r="E5" s="12">
        <v>2007</v>
      </c>
      <c r="F5" s="12">
        <v>2139</v>
      </c>
      <c r="G5" s="12">
        <v>2036</v>
      </c>
      <c r="H5" s="12">
        <v>1946</v>
      </c>
      <c r="I5" s="12">
        <v>1250</v>
      </c>
      <c r="J5" s="12">
        <v>1713</v>
      </c>
      <c r="K5" s="12">
        <v>986</v>
      </c>
      <c r="L5" s="12">
        <v>587</v>
      </c>
      <c r="M5" s="12">
        <v>1072</v>
      </c>
      <c r="N5" s="12">
        <v>1072</v>
      </c>
      <c r="O5" s="12">
        <v>1760</v>
      </c>
      <c r="P5" s="12">
        <v>1440</v>
      </c>
      <c r="Q5" s="12">
        <v>1440</v>
      </c>
      <c r="R5" s="12">
        <v>1440</v>
      </c>
      <c r="S5" s="12">
        <v>1440</v>
      </c>
      <c r="T5" s="12">
        <v>580</v>
      </c>
      <c r="U5" s="12">
        <v>535</v>
      </c>
      <c r="V5" s="10">
        <v>1443</v>
      </c>
      <c r="W5" s="84">
        <v>1616</v>
      </c>
      <c r="X5" s="85">
        <v>2059</v>
      </c>
      <c r="Y5" s="12">
        <v>1720</v>
      </c>
      <c r="Z5" s="12">
        <v>1868</v>
      </c>
      <c r="AA5" s="12">
        <v>2206</v>
      </c>
      <c r="AB5" s="85">
        <v>1490</v>
      </c>
      <c r="AC5" s="12">
        <v>0</v>
      </c>
      <c r="AD5" s="85">
        <v>1707</v>
      </c>
      <c r="AE5" s="12">
        <v>1817</v>
      </c>
      <c r="AF5" s="10">
        <v>871</v>
      </c>
      <c r="AG5" s="12"/>
      <c r="AH5" s="13">
        <f>SUM(C5:AG5)</f>
        <v>44055</v>
      </c>
    </row>
    <row r="6" spans="1:34" x14ac:dyDescent="0.35">
      <c r="A6" s="86" t="s">
        <v>67</v>
      </c>
      <c r="B6" s="6" t="s">
        <v>9</v>
      </c>
      <c r="C6" s="12">
        <v>14860</v>
      </c>
      <c r="D6" s="10">
        <v>10218</v>
      </c>
      <c r="E6" s="12">
        <v>14871</v>
      </c>
      <c r="F6" s="12">
        <v>2801</v>
      </c>
      <c r="G6" s="12">
        <v>8626</v>
      </c>
      <c r="H6" s="12">
        <v>12231</v>
      </c>
      <c r="I6" s="12">
        <v>13702</v>
      </c>
      <c r="J6" s="12">
        <v>9371</v>
      </c>
      <c r="K6" s="12">
        <v>10232</v>
      </c>
      <c r="L6" s="12">
        <v>9976</v>
      </c>
      <c r="M6" s="12">
        <v>14110</v>
      </c>
      <c r="N6" s="12">
        <v>11240</v>
      </c>
      <c r="O6" s="12">
        <v>12608</v>
      </c>
      <c r="P6" s="12">
        <v>8680</v>
      </c>
      <c r="Q6" s="12">
        <v>9592</v>
      </c>
      <c r="R6" s="12">
        <v>12471</v>
      </c>
      <c r="S6" s="12">
        <v>9287</v>
      </c>
      <c r="T6" s="12">
        <v>10556</v>
      </c>
      <c r="U6" s="12">
        <v>12193</v>
      </c>
      <c r="V6" s="10">
        <v>12247</v>
      </c>
      <c r="W6" s="84">
        <v>12715</v>
      </c>
      <c r="X6" s="85">
        <v>11714</v>
      </c>
      <c r="Y6" s="12">
        <v>11635</v>
      </c>
      <c r="Z6" s="12">
        <v>11318</v>
      </c>
      <c r="AA6" s="12">
        <v>3585</v>
      </c>
      <c r="AB6" s="85">
        <v>8006</v>
      </c>
      <c r="AC6" s="12">
        <v>11606</v>
      </c>
      <c r="AD6" s="85">
        <v>10840</v>
      </c>
      <c r="AE6" s="12">
        <v>12149</v>
      </c>
      <c r="AF6" s="10">
        <v>9459</v>
      </c>
      <c r="AG6" s="12"/>
      <c r="AH6" s="13">
        <f>SUM(C6:AG6)</f>
        <v>322899</v>
      </c>
    </row>
    <row r="7" spans="1:34" x14ac:dyDescent="0.35">
      <c r="A7" s="87"/>
      <c r="B7" s="6" t="s">
        <v>10</v>
      </c>
      <c r="C7" s="12">
        <v>14860</v>
      </c>
      <c r="D7" s="10">
        <v>10218</v>
      </c>
      <c r="E7" s="12">
        <v>14871</v>
      </c>
      <c r="F7" s="12">
        <v>2801</v>
      </c>
      <c r="G7" s="12">
        <v>8626</v>
      </c>
      <c r="H7" s="12">
        <v>12231</v>
      </c>
      <c r="I7" s="12">
        <v>13702</v>
      </c>
      <c r="J7" s="12">
        <v>9371</v>
      </c>
      <c r="K7" s="12">
        <v>10232</v>
      </c>
      <c r="L7" s="12">
        <v>9976</v>
      </c>
      <c r="M7" s="12">
        <v>14110</v>
      </c>
      <c r="N7" s="12">
        <v>11240</v>
      </c>
      <c r="O7" s="12">
        <v>12608</v>
      </c>
      <c r="P7" s="12">
        <v>8680</v>
      </c>
      <c r="Q7" s="12">
        <v>9592</v>
      </c>
      <c r="R7" s="12">
        <v>12471</v>
      </c>
      <c r="S7" s="12">
        <v>9287</v>
      </c>
      <c r="T7" s="12">
        <v>10556</v>
      </c>
      <c r="U7" s="12">
        <v>12193</v>
      </c>
      <c r="V7" s="10">
        <v>7951</v>
      </c>
      <c r="W7" s="84">
        <v>12715</v>
      </c>
      <c r="X7" s="85">
        <v>11714</v>
      </c>
      <c r="Y7" s="12">
        <v>11635</v>
      </c>
      <c r="Z7" s="12">
        <v>5758</v>
      </c>
      <c r="AA7" s="12">
        <v>3333</v>
      </c>
      <c r="AB7" s="85">
        <v>8006</v>
      </c>
      <c r="AC7" s="12">
        <v>11606</v>
      </c>
      <c r="AD7" s="85">
        <v>10840</v>
      </c>
      <c r="AE7" s="12">
        <v>12149</v>
      </c>
      <c r="AF7" s="10">
        <v>9459</v>
      </c>
      <c r="AG7" s="12"/>
      <c r="AH7" s="13">
        <f>SUM(C7:AG7)</f>
        <v>312791</v>
      </c>
    </row>
    <row r="8" spans="1:34" x14ac:dyDescent="0.35">
      <c r="A8" s="87"/>
      <c r="B8" s="6" t="s">
        <v>11</v>
      </c>
      <c r="C8" s="12">
        <v>0</v>
      </c>
      <c r="D8" s="10">
        <v>0</v>
      </c>
      <c r="E8" s="12">
        <v>0</v>
      </c>
      <c r="F8" s="12">
        <v>0</v>
      </c>
      <c r="G8" s="12">
        <v>0</v>
      </c>
      <c r="H8" s="7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0">
        <v>4296</v>
      </c>
      <c r="W8" s="84">
        <v>0</v>
      </c>
      <c r="X8" s="85">
        <v>0</v>
      </c>
      <c r="Y8" s="12">
        <v>0</v>
      </c>
      <c r="Z8" s="12">
        <v>5560</v>
      </c>
      <c r="AA8" s="12">
        <v>252</v>
      </c>
      <c r="AB8" s="85">
        <v>252</v>
      </c>
      <c r="AC8" s="12">
        <v>252</v>
      </c>
      <c r="AD8" s="85">
        <v>252</v>
      </c>
      <c r="AE8" s="12">
        <v>0</v>
      </c>
      <c r="AF8" s="10">
        <v>0</v>
      </c>
      <c r="AG8" s="12"/>
      <c r="AH8" s="13">
        <f>SUM(C8:AG8)</f>
        <v>10864</v>
      </c>
    </row>
    <row r="9" spans="1:34" x14ac:dyDescent="0.35">
      <c r="A9" s="87"/>
      <c r="B9" s="6" t="s">
        <v>12</v>
      </c>
      <c r="C9" s="12">
        <v>701.93670288143596</v>
      </c>
      <c r="D9" s="10">
        <v>661.35922330097094</v>
      </c>
      <c r="E9" s="14">
        <v>709.83293556085926</v>
      </c>
      <c r="F9" s="12">
        <v>392.84712482468444</v>
      </c>
      <c r="G9" s="12">
        <v>461.0368786745056</v>
      </c>
      <c r="H9" s="12">
        <v>594.3148688046648</v>
      </c>
      <c r="I9" s="12">
        <v>721.15789473684208</v>
      </c>
      <c r="J9" s="12">
        <v>493.21052631578948</v>
      </c>
      <c r="K9" s="12">
        <v>660.12903225806451</v>
      </c>
      <c r="L9" s="12">
        <v>525.0526315789474</v>
      </c>
      <c r="M9" s="12">
        <v>681.64251207729467</v>
      </c>
      <c r="N9" s="12">
        <v>542.99516908212559</v>
      </c>
      <c r="O9" s="12">
        <v>573.09090909090912</v>
      </c>
      <c r="P9" s="12">
        <v>463.92303580972742</v>
      </c>
      <c r="Q9" s="14">
        <v>718.501872659176</v>
      </c>
      <c r="R9" s="12">
        <v>997.68</v>
      </c>
      <c r="S9" s="12">
        <v>619.13333333333333</v>
      </c>
      <c r="T9" s="14">
        <v>519.23266109198232</v>
      </c>
      <c r="U9" s="12">
        <v>657.30458221024253</v>
      </c>
      <c r="V9" s="60">
        <v>686.87605159842963</v>
      </c>
      <c r="W9" s="84">
        <v>652.0512820512821</v>
      </c>
      <c r="X9" s="85">
        <v>555.16587677725113</v>
      </c>
      <c r="Y9" s="12">
        <v>564.53178068898592</v>
      </c>
      <c r="Z9" s="12">
        <v>589.47916666666674</v>
      </c>
      <c r="AA9" s="12">
        <v>270.56603773584908</v>
      </c>
      <c r="AB9" s="85">
        <v>548.35616438356169</v>
      </c>
      <c r="AC9" s="12">
        <v>669.70571263704562</v>
      </c>
      <c r="AD9" s="85">
        <v>635.40445486518172</v>
      </c>
      <c r="AE9" s="12">
        <v>636.74004192872121</v>
      </c>
      <c r="AF9" s="10">
        <v>439.95348837209303</v>
      </c>
      <c r="AG9" s="12"/>
      <c r="AH9" s="13">
        <f>AH6/AH15</f>
        <v>598.63734959862063</v>
      </c>
    </row>
    <row r="10" spans="1:34" x14ac:dyDescent="0.35">
      <c r="A10" s="87"/>
      <c r="B10" s="6" t="s">
        <v>13</v>
      </c>
      <c r="C10" s="12">
        <v>0</v>
      </c>
      <c r="D10" s="42">
        <v>0</v>
      </c>
      <c r="E10" s="15">
        <v>0</v>
      </c>
      <c r="F10" s="12">
        <v>0</v>
      </c>
      <c r="G10" s="12">
        <v>0</v>
      </c>
      <c r="H10" s="15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5">
        <v>0</v>
      </c>
      <c r="R10" s="12">
        <v>0</v>
      </c>
      <c r="S10" s="12">
        <v>0</v>
      </c>
      <c r="T10" s="15">
        <v>0</v>
      </c>
      <c r="U10" s="12">
        <v>0</v>
      </c>
      <c r="V10" s="61">
        <v>0</v>
      </c>
      <c r="W10" s="84">
        <v>0</v>
      </c>
      <c r="X10" s="85">
        <v>0</v>
      </c>
      <c r="Y10" s="12">
        <v>0</v>
      </c>
      <c r="Z10" s="12">
        <v>0</v>
      </c>
      <c r="AA10" s="12">
        <v>0</v>
      </c>
      <c r="AB10" s="85">
        <v>0</v>
      </c>
      <c r="AC10" s="12">
        <v>0</v>
      </c>
      <c r="AD10" s="85">
        <v>0</v>
      </c>
      <c r="AE10" s="12">
        <v>0</v>
      </c>
      <c r="AF10" s="10">
        <v>0</v>
      </c>
      <c r="AG10" s="12"/>
      <c r="AH10" s="13">
        <f>SUM(C10:AG10)</f>
        <v>0</v>
      </c>
    </row>
    <row r="11" spans="1:34" x14ac:dyDescent="0.35">
      <c r="A11" s="87"/>
      <c r="B11" s="6" t="s">
        <v>14</v>
      </c>
      <c r="C11" s="12">
        <v>0</v>
      </c>
      <c r="D11" s="7">
        <v>0</v>
      </c>
      <c r="E11" s="15">
        <v>0</v>
      </c>
      <c r="F11" s="12">
        <v>0</v>
      </c>
      <c r="G11" s="12">
        <v>0</v>
      </c>
      <c r="H11" s="15">
        <v>0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  <c r="O11" s="12">
        <v>0</v>
      </c>
      <c r="P11" s="12">
        <v>0</v>
      </c>
      <c r="Q11" s="15">
        <v>0</v>
      </c>
      <c r="R11" s="12">
        <v>0</v>
      </c>
      <c r="S11" s="12">
        <v>0</v>
      </c>
      <c r="T11" s="15">
        <v>0</v>
      </c>
      <c r="U11" s="12">
        <v>0</v>
      </c>
      <c r="V11" s="61">
        <v>0</v>
      </c>
      <c r="W11" s="84">
        <v>0</v>
      </c>
      <c r="X11" s="85">
        <v>0</v>
      </c>
      <c r="Y11" s="12">
        <v>0</v>
      </c>
      <c r="Z11" s="12">
        <v>0</v>
      </c>
      <c r="AA11" s="12">
        <v>0</v>
      </c>
      <c r="AB11" s="85">
        <v>0</v>
      </c>
      <c r="AC11" s="12">
        <v>0</v>
      </c>
      <c r="AD11" s="85">
        <v>0</v>
      </c>
      <c r="AE11" s="12">
        <v>0</v>
      </c>
      <c r="AF11" s="10">
        <v>0</v>
      </c>
      <c r="AG11" s="12"/>
      <c r="AH11" s="13">
        <f>SUM(C11:AG11)</f>
        <v>0</v>
      </c>
    </row>
    <row r="12" spans="1:34" x14ac:dyDescent="0.35">
      <c r="A12" s="87"/>
      <c r="B12" s="6" t="s">
        <v>15</v>
      </c>
      <c r="C12" s="16">
        <v>0</v>
      </c>
      <c r="D12" s="16">
        <v>0.20526330744459179</v>
      </c>
      <c r="E12" s="16">
        <v>0</v>
      </c>
      <c r="F12" s="16">
        <v>0</v>
      </c>
      <c r="G12" s="16">
        <v>0.5296196760647871</v>
      </c>
      <c r="H12" s="16">
        <v>0.42749999999999999</v>
      </c>
      <c r="I12" s="16">
        <v>0</v>
      </c>
      <c r="J12" s="16">
        <v>0.42246218315617334</v>
      </c>
      <c r="K12" s="16">
        <v>0.37071931196247065</v>
      </c>
      <c r="L12" s="16">
        <v>0.31955722639933165</v>
      </c>
      <c r="M12" s="16">
        <v>0</v>
      </c>
      <c r="N12" s="16">
        <v>0.36081252644942868</v>
      </c>
      <c r="O12" s="16">
        <v>0</v>
      </c>
      <c r="P12" s="12">
        <v>0.39518528217886606</v>
      </c>
      <c r="Q12" s="18">
        <v>0</v>
      </c>
      <c r="R12" s="16">
        <v>0</v>
      </c>
      <c r="S12" s="16">
        <v>0</v>
      </c>
      <c r="T12" s="18">
        <v>0</v>
      </c>
      <c r="U12" s="16">
        <v>0</v>
      </c>
      <c r="V12" s="62">
        <v>0</v>
      </c>
      <c r="W12" s="63">
        <v>0</v>
      </c>
      <c r="X12" s="64">
        <v>0</v>
      </c>
      <c r="Y12" s="16">
        <v>0</v>
      </c>
      <c r="Z12" s="16">
        <v>0</v>
      </c>
      <c r="AA12" s="16">
        <v>0</v>
      </c>
      <c r="AB12" s="64">
        <v>0.27233288283605367</v>
      </c>
      <c r="AC12" s="16">
        <v>0</v>
      </c>
      <c r="AD12" s="64">
        <v>0</v>
      </c>
      <c r="AE12" s="16">
        <v>0</v>
      </c>
      <c r="AF12" s="10">
        <v>0.51505833646970267</v>
      </c>
      <c r="AG12" s="16"/>
      <c r="AH12" s="17">
        <f>(AH4+AH11)*0.87/AH31</f>
        <v>0.13622652851553108</v>
      </c>
    </row>
    <row r="13" spans="1:34" x14ac:dyDescent="0.35">
      <c r="A13" s="87"/>
      <c r="B13" s="6" t="s">
        <v>16</v>
      </c>
      <c r="C13" s="12">
        <v>0</v>
      </c>
      <c r="D13" s="10">
        <v>0</v>
      </c>
      <c r="E13" s="15">
        <v>0</v>
      </c>
      <c r="F13" s="12">
        <v>0</v>
      </c>
      <c r="G13" s="12">
        <v>0</v>
      </c>
      <c r="H13" s="15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0</v>
      </c>
      <c r="O13" s="12">
        <v>0</v>
      </c>
      <c r="P13" s="12">
        <v>0</v>
      </c>
      <c r="Q13" s="15">
        <v>0</v>
      </c>
      <c r="R13" s="12">
        <v>0</v>
      </c>
      <c r="S13" s="12">
        <v>0</v>
      </c>
      <c r="T13" s="15">
        <v>0</v>
      </c>
      <c r="U13" s="12">
        <v>0</v>
      </c>
      <c r="V13" s="61">
        <v>0</v>
      </c>
      <c r="W13" s="84">
        <v>0</v>
      </c>
      <c r="X13" s="85">
        <v>0</v>
      </c>
      <c r="Y13" s="12">
        <v>0</v>
      </c>
      <c r="Z13" s="12">
        <v>0</v>
      </c>
      <c r="AA13" s="12">
        <v>0</v>
      </c>
      <c r="AB13" s="85">
        <v>0</v>
      </c>
      <c r="AC13" s="12">
        <v>0</v>
      </c>
      <c r="AD13" s="85">
        <v>0</v>
      </c>
      <c r="AE13" s="12">
        <v>0</v>
      </c>
      <c r="AF13" s="10">
        <v>0</v>
      </c>
      <c r="AG13" s="12"/>
      <c r="AH13" s="13">
        <f>SUM(C13:AG13)</f>
        <v>0</v>
      </c>
    </row>
    <row r="14" spans="1:34" x14ac:dyDescent="0.35">
      <c r="A14" s="87"/>
      <c r="B14" s="6" t="s">
        <v>17</v>
      </c>
      <c r="C14" s="16">
        <v>0</v>
      </c>
      <c r="D14" s="16">
        <v>0</v>
      </c>
      <c r="E14" s="18">
        <v>0</v>
      </c>
      <c r="F14" s="16">
        <v>0</v>
      </c>
      <c r="G14" s="16">
        <v>0</v>
      </c>
      <c r="H14" s="16">
        <v>0</v>
      </c>
      <c r="I14" s="7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2">
        <v>0</v>
      </c>
      <c r="Q14" s="18">
        <v>0</v>
      </c>
      <c r="R14" s="16">
        <v>0</v>
      </c>
      <c r="S14" s="16">
        <v>0</v>
      </c>
      <c r="T14" s="18">
        <v>0</v>
      </c>
      <c r="U14" s="16">
        <v>0</v>
      </c>
      <c r="V14" s="62">
        <v>0</v>
      </c>
      <c r="W14" s="63">
        <v>0</v>
      </c>
      <c r="X14" s="64">
        <v>0</v>
      </c>
      <c r="Y14" s="16">
        <v>0</v>
      </c>
      <c r="Z14" s="16">
        <v>0</v>
      </c>
      <c r="AA14" s="16">
        <v>0</v>
      </c>
      <c r="AB14" s="64">
        <v>0</v>
      </c>
      <c r="AC14" s="16">
        <v>0</v>
      </c>
      <c r="AD14" s="64">
        <v>0</v>
      </c>
      <c r="AE14" s="16">
        <v>0</v>
      </c>
      <c r="AF14" s="10">
        <v>0</v>
      </c>
      <c r="AG14" s="16"/>
      <c r="AH14" s="17">
        <f>+AH13*0.62/AH33</f>
        <v>0</v>
      </c>
    </row>
    <row r="15" spans="1:34" x14ac:dyDescent="0.35">
      <c r="A15" s="88"/>
      <c r="B15" s="6" t="s">
        <v>18</v>
      </c>
      <c r="C15" s="19">
        <v>21.17</v>
      </c>
      <c r="D15" s="43">
        <v>15.45</v>
      </c>
      <c r="E15" s="19">
        <v>20.95</v>
      </c>
      <c r="F15" s="19">
        <v>7.13</v>
      </c>
      <c r="G15" s="19">
        <v>18.71</v>
      </c>
      <c r="H15" s="19">
        <v>20.58</v>
      </c>
      <c r="I15" s="65">
        <v>19</v>
      </c>
      <c r="J15" s="89">
        <v>19</v>
      </c>
      <c r="K15" s="89">
        <v>15.5</v>
      </c>
      <c r="L15" s="89">
        <v>19</v>
      </c>
      <c r="M15" s="89">
        <v>20.7</v>
      </c>
      <c r="N15" s="89">
        <v>20.7</v>
      </c>
      <c r="O15" s="89">
        <v>22</v>
      </c>
      <c r="P15" s="12">
        <v>18.71</v>
      </c>
      <c r="Q15" s="19">
        <v>13.35</v>
      </c>
      <c r="R15" s="89">
        <v>12.5</v>
      </c>
      <c r="S15" s="89">
        <v>15</v>
      </c>
      <c r="T15" s="19">
        <v>20.329999999999998</v>
      </c>
      <c r="U15" s="89">
        <v>18.55</v>
      </c>
      <c r="V15" s="43">
        <v>17.829999999999998</v>
      </c>
      <c r="W15" s="90">
        <v>19.5</v>
      </c>
      <c r="X15" s="91">
        <v>21.1</v>
      </c>
      <c r="Y15" s="89">
        <v>20.61</v>
      </c>
      <c r="Z15" s="89">
        <v>19.2</v>
      </c>
      <c r="AA15" s="19">
        <v>13.25</v>
      </c>
      <c r="AB15" s="91">
        <v>14.6</v>
      </c>
      <c r="AC15" s="19">
        <v>17.329999999999998</v>
      </c>
      <c r="AD15" s="37">
        <v>17.059999999999999</v>
      </c>
      <c r="AE15" s="19">
        <v>19.079999999999998</v>
      </c>
      <c r="AF15" s="66">
        <v>21.5</v>
      </c>
      <c r="AG15" s="12"/>
      <c r="AH15" s="13">
        <f>SUM(C15:AG15)</f>
        <v>539.39</v>
      </c>
    </row>
    <row r="16" spans="1:34" x14ac:dyDescent="0.35">
      <c r="A16" s="92" t="s">
        <v>68</v>
      </c>
      <c r="B16" s="6" t="s">
        <v>19</v>
      </c>
      <c r="C16" s="12">
        <v>3924</v>
      </c>
      <c r="D16" s="10">
        <v>2027</v>
      </c>
      <c r="E16" s="12">
        <v>4104</v>
      </c>
      <c r="F16" s="12">
        <v>572</v>
      </c>
      <c r="G16" s="12">
        <v>3805</v>
      </c>
      <c r="H16" s="12">
        <v>4296</v>
      </c>
      <c r="I16" s="12">
        <v>4682</v>
      </c>
      <c r="J16" s="12">
        <v>5143</v>
      </c>
      <c r="K16" s="12">
        <v>3766</v>
      </c>
      <c r="L16" s="12">
        <v>3107</v>
      </c>
      <c r="M16" s="12">
        <v>4327</v>
      </c>
      <c r="N16" s="12">
        <v>4238</v>
      </c>
      <c r="O16" s="12">
        <v>2001</v>
      </c>
      <c r="P16" s="12">
        <v>4433</v>
      </c>
      <c r="Q16" s="12">
        <v>2912</v>
      </c>
      <c r="R16" s="12">
        <v>5781</v>
      </c>
      <c r="S16" s="12">
        <v>4977</v>
      </c>
      <c r="T16" s="12">
        <v>2750</v>
      </c>
      <c r="U16" s="12">
        <v>2415</v>
      </c>
      <c r="V16" s="10">
        <v>2743</v>
      </c>
      <c r="W16" s="84">
        <v>5134</v>
      </c>
      <c r="X16" s="85">
        <v>2495</v>
      </c>
      <c r="Y16" s="12">
        <v>3506</v>
      </c>
      <c r="Z16" s="12">
        <v>3128</v>
      </c>
      <c r="AA16" s="12">
        <v>2775</v>
      </c>
      <c r="AB16" s="85">
        <v>1677</v>
      </c>
      <c r="AC16" s="12">
        <v>4149</v>
      </c>
      <c r="AD16" s="85">
        <v>3250</v>
      </c>
      <c r="AE16" s="12">
        <v>3162</v>
      </c>
      <c r="AF16" s="10">
        <v>6206</v>
      </c>
      <c r="AG16" s="12"/>
      <c r="AH16" s="20">
        <f>SUM(C16:AG16)</f>
        <v>107485</v>
      </c>
    </row>
    <row r="17" spans="1:34" x14ac:dyDescent="0.35">
      <c r="A17" s="93"/>
      <c r="B17" s="6" t="s">
        <v>20</v>
      </c>
      <c r="C17" s="12">
        <v>3924</v>
      </c>
      <c r="D17" s="10">
        <v>2027</v>
      </c>
      <c r="E17" s="12">
        <v>4104</v>
      </c>
      <c r="F17" s="12">
        <v>572</v>
      </c>
      <c r="G17" s="12">
        <v>3805</v>
      </c>
      <c r="H17" s="12">
        <v>4296</v>
      </c>
      <c r="I17" s="12">
        <v>4682</v>
      </c>
      <c r="J17" s="12">
        <v>5143</v>
      </c>
      <c r="K17" s="12">
        <v>3766</v>
      </c>
      <c r="L17" s="12">
        <v>3107</v>
      </c>
      <c r="M17" s="12">
        <v>4327</v>
      </c>
      <c r="N17" s="12">
        <v>4238</v>
      </c>
      <c r="O17" s="12">
        <v>2001</v>
      </c>
      <c r="P17" s="12">
        <v>4433</v>
      </c>
      <c r="Q17" s="12">
        <v>2912</v>
      </c>
      <c r="R17" s="12">
        <v>5781</v>
      </c>
      <c r="S17" s="12">
        <v>4977</v>
      </c>
      <c r="T17" s="12">
        <v>2750</v>
      </c>
      <c r="U17" s="12">
        <v>2415</v>
      </c>
      <c r="V17" s="10">
        <v>2743</v>
      </c>
      <c r="W17" s="84">
        <v>5134</v>
      </c>
      <c r="X17" s="85">
        <v>2495</v>
      </c>
      <c r="Y17" s="12">
        <v>3506</v>
      </c>
      <c r="Z17" s="12">
        <v>3128</v>
      </c>
      <c r="AA17" s="12">
        <v>2775</v>
      </c>
      <c r="AB17" s="85">
        <v>1677</v>
      </c>
      <c r="AC17" s="12">
        <v>4149</v>
      </c>
      <c r="AD17" s="85">
        <v>3250</v>
      </c>
      <c r="AE17" s="12">
        <v>3162</v>
      </c>
      <c r="AF17" s="10">
        <v>6206</v>
      </c>
      <c r="AG17" s="12"/>
      <c r="AH17" s="13">
        <f>SUM(C17:AG17)</f>
        <v>107485</v>
      </c>
    </row>
    <row r="18" spans="1:34" x14ac:dyDescent="0.35">
      <c r="A18" s="93"/>
      <c r="B18" s="6" t="s">
        <v>21</v>
      </c>
      <c r="C18" s="12">
        <v>0</v>
      </c>
      <c r="D18" s="10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0">
        <v>0</v>
      </c>
      <c r="W18" s="84">
        <v>0</v>
      </c>
      <c r="X18" s="85">
        <v>0</v>
      </c>
      <c r="Y18" s="12">
        <v>0</v>
      </c>
      <c r="Z18" s="12">
        <v>0</v>
      </c>
      <c r="AA18" s="12">
        <v>0</v>
      </c>
      <c r="AB18" s="85">
        <v>0</v>
      </c>
      <c r="AC18" s="12">
        <v>0</v>
      </c>
      <c r="AD18" s="85">
        <v>0</v>
      </c>
      <c r="AE18" s="12">
        <v>0</v>
      </c>
      <c r="AF18" s="10">
        <v>0</v>
      </c>
      <c r="AG18" s="12"/>
      <c r="AH18" s="13">
        <f>SUM(C18:AG18)</f>
        <v>0</v>
      </c>
    </row>
    <row r="19" spans="1:34" x14ac:dyDescent="0.35">
      <c r="A19" s="93"/>
      <c r="B19" s="6" t="s">
        <v>18</v>
      </c>
      <c r="C19" s="19">
        <v>20.67</v>
      </c>
      <c r="D19" s="43">
        <v>16.170000000000002</v>
      </c>
      <c r="E19" s="19">
        <v>22.92</v>
      </c>
      <c r="F19" s="21">
        <v>4.5</v>
      </c>
      <c r="G19" s="19">
        <v>18.91</v>
      </c>
      <c r="H19" s="19">
        <v>20.5</v>
      </c>
      <c r="I19" s="19">
        <v>21.25</v>
      </c>
      <c r="J19" s="19">
        <v>21.45</v>
      </c>
      <c r="K19" s="19">
        <v>19</v>
      </c>
      <c r="L19" s="19">
        <v>18</v>
      </c>
      <c r="M19" s="19">
        <v>20.5</v>
      </c>
      <c r="N19" s="19">
        <v>20.5</v>
      </c>
      <c r="O19" s="19">
        <v>12</v>
      </c>
      <c r="P19" s="12">
        <v>21</v>
      </c>
      <c r="Q19" s="19">
        <v>15.45</v>
      </c>
      <c r="R19" s="19">
        <v>23.33</v>
      </c>
      <c r="S19" s="19">
        <v>23.33</v>
      </c>
      <c r="T19" s="19">
        <v>18.579999999999998</v>
      </c>
      <c r="U19" s="19">
        <v>9.66</v>
      </c>
      <c r="V19" s="43">
        <v>12</v>
      </c>
      <c r="W19" s="94">
        <v>23.66</v>
      </c>
      <c r="X19" s="37">
        <v>16.66</v>
      </c>
      <c r="Y19" s="19">
        <v>22.08</v>
      </c>
      <c r="Z19" s="19">
        <v>12.83</v>
      </c>
      <c r="AA19" s="19">
        <v>11</v>
      </c>
      <c r="AB19" s="37">
        <v>8.83</v>
      </c>
      <c r="AC19" s="19">
        <v>20.5</v>
      </c>
      <c r="AD19" s="37">
        <v>18.579999999999998</v>
      </c>
      <c r="AE19" s="19">
        <v>20</v>
      </c>
      <c r="AF19" s="10">
        <v>20.329999999999998</v>
      </c>
      <c r="AG19" s="19"/>
      <c r="AH19" s="13">
        <f>AH16/AH20</f>
        <v>538.58201350883144</v>
      </c>
    </row>
    <row r="20" spans="1:34" x14ac:dyDescent="0.35">
      <c r="A20" s="93"/>
      <c r="B20" s="6" t="s">
        <v>22</v>
      </c>
      <c r="C20" s="12">
        <v>189.84034833091437</v>
      </c>
      <c r="D20" s="10">
        <v>125.3555967841682</v>
      </c>
      <c r="E20" s="14">
        <v>179.05759162303664</v>
      </c>
      <c r="F20" s="12">
        <v>127.11111111111111</v>
      </c>
      <c r="G20" s="12">
        <v>201.21628767847699</v>
      </c>
      <c r="H20" s="12">
        <v>209.5609756097561</v>
      </c>
      <c r="I20" s="12">
        <v>220.3294117647059</v>
      </c>
      <c r="J20" s="12">
        <v>239.76689976689977</v>
      </c>
      <c r="K20" s="12">
        <v>198.21052631578948</v>
      </c>
      <c r="L20" s="12">
        <v>172.61111111111111</v>
      </c>
      <c r="M20" s="12">
        <v>211.07317073170731</v>
      </c>
      <c r="N20" s="12">
        <v>206.73170731707316</v>
      </c>
      <c r="O20" s="12">
        <v>166.75</v>
      </c>
      <c r="P20" s="12">
        <v>211.0952380952381</v>
      </c>
      <c r="Q20" s="14">
        <v>188.47896440129452</v>
      </c>
      <c r="R20" s="14">
        <v>247.79254179168456</v>
      </c>
      <c r="S20" s="12">
        <v>213.33047578225461</v>
      </c>
      <c r="T20" s="14">
        <v>148.00861141011842</v>
      </c>
      <c r="U20" s="60">
        <v>250</v>
      </c>
      <c r="V20" s="60">
        <v>228.58333333333334</v>
      </c>
      <c r="W20" s="67">
        <v>216.99070160608622</v>
      </c>
      <c r="X20" s="68">
        <v>149.75990396158463</v>
      </c>
      <c r="Y20" s="60">
        <v>158.786231884058</v>
      </c>
      <c r="Z20" s="60">
        <v>243.80358534684333</v>
      </c>
      <c r="AA20" s="60">
        <v>252.27272727272728</v>
      </c>
      <c r="AB20" s="68">
        <v>189.92072480181201</v>
      </c>
      <c r="AC20" s="60">
        <v>202.39024390243901</v>
      </c>
      <c r="AD20" s="68">
        <v>174.91926803013996</v>
      </c>
      <c r="AE20" s="60">
        <v>158.1</v>
      </c>
      <c r="AF20" s="10">
        <v>305.26315789473688</v>
      </c>
      <c r="AG20" s="12"/>
      <c r="AH20" s="22">
        <f>AVERAGE(C20:AG20)</f>
        <v>199.57034825530337</v>
      </c>
    </row>
    <row r="21" spans="1:34" x14ac:dyDescent="0.35">
      <c r="A21" s="95"/>
      <c r="B21" s="6" t="s">
        <v>23</v>
      </c>
      <c r="C21" s="12">
        <v>0</v>
      </c>
      <c r="D21" s="10">
        <v>0</v>
      </c>
      <c r="E21" s="12">
        <v>0</v>
      </c>
      <c r="F21" s="12">
        <v>0</v>
      </c>
      <c r="G21" s="12">
        <v>1141</v>
      </c>
      <c r="H21" s="12">
        <v>1946</v>
      </c>
      <c r="I21" s="12">
        <v>943</v>
      </c>
      <c r="J21" s="12">
        <v>305</v>
      </c>
      <c r="K21" s="12">
        <v>0</v>
      </c>
      <c r="L21" s="12">
        <v>0</v>
      </c>
      <c r="M21" s="12">
        <v>1</v>
      </c>
      <c r="N21" s="12">
        <v>0</v>
      </c>
      <c r="O21" s="12">
        <v>0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60">
        <v>0</v>
      </c>
      <c r="V21" s="60">
        <v>0</v>
      </c>
      <c r="W21" s="67">
        <v>0</v>
      </c>
      <c r="X21" s="68">
        <v>0</v>
      </c>
      <c r="Y21" s="60">
        <v>0</v>
      </c>
      <c r="Z21" s="60">
        <v>0</v>
      </c>
      <c r="AA21" s="60">
        <v>0</v>
      </c>
      <c r="AB21" s="68">
        <v>0</v>
      </c>
      <c r="AC21" s="60">
        <v>0</v>
      </c>
      <c r="AD21" s="68">
        <v>0</v>
      </c>
      <c r="AE21" s="60">
        <v>0</v>
      </c>
      <c r="AF21" s="10">
        <v>0</v>
      </c>
      <c r="AG21" s="12"/>
      <c r="AH21" s="23">
        <f>SUM(C21:AG21)</f>
        <v>4336</v>
      </c>
    </row>
    <row r="22" spans="1:34" ht="18.5" x14ac:dyDescent="0.45">
      <c r="A22" s="92" t="s">
        <v>69</v>
      </c>
      <c r="B22" s="6" t="s">
        <v>24</v>
      </c>
      <c r="C22" s="12">
        <v>61.403571428571425</v>
      </c>
      <c r="D22" s="10">
        <v>56.763440860215056</v>
      </c>
      <c r="E22" s="14">
        <v>58.521276595744681</v>
      </c>
      <c r="F22" s="12">
        <v>53.2734375</v>
      </c>
      <c r="G22" s="12">
        <v>53.658798283261802</v>
      </c>
      <c r="H22" s="12">
        <v>50.775800711743763</v>
      </c>
      <c r="I22" s="12">
        <v>50.51075268817204</v>
      </c>
      <c r="J22" s="12">
        <v>54.761194029850742</v>
      </c>
      <c r="K22" s="12">
        <v>54.81428571428571</v>
      </c>
      <c r="L22" s="12">
        <v>57.303191489361694</v>
      </c>
      <c r="M22" s="12">
        <v>55.827272727272721</v>
      </c>
      <c r="N22" s="12">
        <v>65.396678966789665</v>
      </c>
      <c r="O22" s="12">
        <v>59.428571428571431</v>
      </c>
      <c r="P22" s="12">
        <v>61.588709677419345</v>
      </c>
      <c r="Q22" s="14">
        <v>58.267955801104968</v>
      </c>
      <c r="R22" s="12">
        <v>56.47689375893281</v>
      </c>
      <c r="S22" s="12">
        <v>65.370129870129858</v>
      </c>
      <c r="T22" s="12">
        <v>55.400735294117645</v>
      </c>
      <c r="U22" s="12">
        <v>60.581749049429646</v>
      </c>
      <c r="V22" s="24">
        <v>66.78378378378379</v>
      </c>
      <c r="W22" s="84">
        <v>55.696202531645561</v>
      </c>
      <c r="X22" s="85">
        <v>58.351190476190474</v>
      </c>
      <c r="Y22" s="12">
        <v>60.96226415094339</v>
      </c>
      <c r="Z22" s="12">
        <v>60.12676056338028</v>
      </c>
      <c r="AA22" s="12">
        <v>52.011627906976756</v>
      </c>
      <c r="AB22" s="85">
        <v>69.70289855072464</v>
      </c>
      <c r="AC22" s="12">
        <v>55.117021276595736</v>
      </c>
      <c r="AD22" s="85">
        <v>52.722457627118644</v>
      </c>
      <c r="AE22" s="12">
        <v>59.526022304832722</v>
      </c>
      <c r="AF22" s="10">
        <v>63.261904761904752</v>
      </c>
      <c r="AG22" s="12"/>
      <c r="AH22" s="13">
        <f>AH31/AH36/8</f>
        <v>58.236042942615882</v>
      </c>
    </row>
    <row r="23" spans="1:34" x14ac:dyDescent="0.35">
      <c r="A23" s="93"/>
      <c r="B23" s="6" t="s">
        <v>25</v>
      </c>
      <c r="C23" s="12">
        <v>59.756097560975604</v>
      </c>
      <c r="D23" s="10">
        <v>53.860294117647058</v>
      </c>
      <c r="E23" s="14">
        <v>51.875</v>
      </c>
      <c r="F23" s="12">
        <v>52.5</v>
      </c>
      <c r="G23" s="12">
        <v>49.568965517241381</v>
      </c>
      <c r="H23" s="12">
        <v>44.71153846153846</v>
      </c>
      <c r="I23" s="12">
        <v>48.489010989010993</v>
      </c>
      <c r="J23" s="12">
        <v>47.782258064516128</v>
      </c>
      <c r="K23" s="12">
        <v>48.471615720524021</v>
      </c>
      <c r="L23" s="12">
        <v>50.35615808823529</v>
      </c>
      <c r="M23" s="12">
        <v>52.519633507853399</v>
      </c>
      <c r="N23" s="12">
        <v>54.75</v>
      </c>
      <c r="O23" s="12">
        <v>57.910447761194028</v>
      </c>
      <c r="P23" s="12">
        <v>51.814516129032256</v>
      </c>
      <c r="Q23" s="12">
        <v>57.326158940397349</v>
      </c>
      <c r="R23" s="12">
        <v>53.987455197132618</v>
      </c>
      <c r="S23" s="12">
        <v>55</v>
      </c>
      <c r="T23" s="12">
        <v>51.153846153846153</v>
      </c>
      <c r="U23" s="12">
        <v>52.625</v>
      </c>
      <c r="V23" s="12">
        <v>48.260869565217398</v>
      </c>
      <c r="W23" s="12">
        <v>55.696202531645568</v>
      </c>
      <c r="X23" s="12">
        <v>54.673913043478258</v>
      </c>
      <c r="Y23" s="12">
        <v>47.941176470588232</v>
      </c>
      <c r="Z23" s="12">
        <v>54.680851063829785</v>
      </c>
      <c r="AA23" s="12">
        <v>51.236749116607776</v>
      </c>
      <c r="AB23" s="85">
        <v>62.804878048780488</v>
      </c>
      <c r="AC23" s="12">
        <v>51.477272727272727</v>
      </c>
      <c r="AD23" s="85">
        <v>52.713523131672595</v>
      </c>
      <c r="AE23" s="12">
        <v>59.5171721677074</v>
      </c>
      <c r="AF23" s="10">
        <v>55.186170212765958</v>
      </c>
      <c r="AG23" s="12"/>
      <c r="AH23" s="13">
        <f>AH32/AH37/8</f>
        <v>53.711728351211192</v>
      </c>
    </row>
    <row r="24" spans="1:34" x14ac:dyDescent="0.35">
      <c r="A24" s="93"/>
      <c r="B24" s="6" t="s">
        <v>26</v>
      </c>
      <c r="C24" s="12">
        <v>61.993210475266714</v>
      </c>
      <c r="D24" s="44">
        <v>61.188340807174896</v>
      </c>
      <c r="E24" s="14">
        <v>63.444444444444443</v>
      </c>
      <c r="F24" s="12">
        <v>57.450000000000017</v>
      </c>
      <c r="G24" s="12">
        <v>50.709355828220865</v>
      </c>
      <c r="H24" s="12">
        <v>53.713235294117645</v>
      </c>
      <c r="I24" s="12">
        <v>51.810954063604242</v>
      </c>
      <c r="J24" s="12">
        <v>58.333333333333336</v>
      </c>
      <c r="K24" s="12">
        <v>56.701030927835056</v>
      </c>
      <c r="L24" s="12">
        <v>58.065878378378379</v>
      </c>
      <c r="M24" s="12">
        <v>59.118673647469457</v>
      </c>
      <c r="N24" s="12">
        <v>67.828947368421055</v>
      </c>
      <c r="O24" s="12">
        <v>63.666666666666664</v>
      </c>
      <c r="P24" s="12">
        <v>65.823863636363626</v>
      </c>
      <c r="Q24" s="12">
        <v>62.125</v>
      </c>
      <c r="R24" s="12">
        <v>60.880726698262244</v>
      </c>
      <c r="S24" s="12">
        <v>68</v>
      </c>
      <c r="T24" s="12">
        <v>57.42307692307692</v>
      </c>
      <c r="U24" s="12">
        <v>58</v>
      </c>
      <c r="V24" s="83">
        <v>63.793995859213247</v>
      </c>
      <c r="W24" s="12" t="e">
        <v>#DIV/0!</v>
      </c>
      <c r="X24" s="12">
        <v>62.80263157894737</v>
      </c>
      <c r="Y24" s="12">
        <v>65.070789865871831</v>
      </c>
      <c r="Z24" s="12" t="e">
        <v>#DIV/0!</v>
      </c>
      <c r="AA24" s="12" t="e">
        <v>#DIV/0!</v>
      </c>
      <c r="AB24" s="85" t="e">
        <v>#DIV/0!</v>
      </c>
      <c r="AC24" s="12">
        <v>59.781553398058236</v>
      </c>
      <c r="AD24" s="85">
        <v>0</v>
      </c>
      <c r="AE24" s="12">
        <v>0</v>
      </c>
      <c r="AF24" s="10" t="e">
        <v>#DIV/0!</v>
      </c>
      <c r="AG24" s="12"/>
      <c r="AH24" s="13">
        <f>+AH33/AH38/8</f>
        <v>60.700144313159555</v>
      </c>
    </row>
    <row r="25" spans="1:34" ht="18.5" x14ac:dyDescent="0.45">
      <c r="A25" s="93"/>
      <c r="B25" s="6" t="s">
        <v>27</v>
      </c>
      <c r="C25" s="12">
        <v>0</v>
      </c>
      <c r="D25" s="45">
        <v>51.179245283018872</v>
      </c>
      <c r="E25" s="14">
        <v>0</v>
      </c>
      <c r="F25" s="12">
        <v>0</v>
      </c>
      <c r="G25" s="12">
        <v>56.75</v>
      </c>
      <c r="H25" s="12">
        <v>53.854875283446709</v>
      </c>
      <c r="I25" s="12">
        <v>0</v>
      </c>
      <c r="J25" s="12">
        <v>58.211473565804269</v>
      </c>
      <c r="K25" s="12">
        <v>63</v>
      </c>
      <c r="L25" s="12">
        <v>67.910447761194021</v>
      </c>
      <c r="M25" s="12">
        <v>0</v>
      </c>
      <c r="N25" s="12" t="e">
        <v>#DIV/0!</v>
      </c>
      <c r="O25" s="12" t="e">
        <v>#DIV/0!</v>
      </c>
      <c r="P25" s="12">
        <v>70.15306122448979</v>
      </c>
      <c r="Q25" s="14">
        <v>0</v>
      </c>
      <c r="R25" s="12">
        <v>0</v>
      </c>
      <c r="S25" s="12">
        <v>0</v>
      </c>
      <c r="T25" s="12">
        <v>0</v>
      </c>
      <c r="U25" s="12">
        <v>70.347533632286996</v>
      </c>
      <c r="V25" s="24">
        <v>73.309492847854358</v>
      </c>
      <c r="W25" s="84" t="e">
        <v>#DIV/0!</v>
      </c>
      <c r="X25" s="85" t="e">
        <v>#DIV/0!</v>
      </c>
      <c r="Y25" s="12" t="e">
        <v>#DIV/0!</v>
      </c>
      <c r="Z25" s="12">
        <v>70.791666666666671</v>
      </c>
      <c r="AA25" s="12">
        <v>55.166666666666664</v>
      </c>
      <c r="AB25" s="85">
        <v>73.524774774774784</v>
      </c>
      <c r="AC25" s="12" t="e">
        <v>#DIV/0!</v>
      </c>
      <c r="AD25" s="85" t="e">
        <v>#DIV/0!</v>
      </c>
      <c r="AE25" s="12" t="e">
        <v>#DIV/0!</v>
      </c>
      <c r="AF25" s="10">
        <v>69.806034482758605</v>
      </c>
      <c r="AG25" s="12"/>
      <c r="AH25" s="13" t="e">
        <f>AH33/AH39/8</f>
        <v>#DIV/0!</v>
      </c>
    </row>
    <row r="26" spans="1:34" x14ac:dyDescent="0.35">
      <c r="A26" s="93"/>
      <c r="B26" s="6" t="s">
        <v>28</v>
      </c>
      <c r="C26" s="12">
        <v>985</v>
      </c>
      <c r="D26" s="10">
        <v>678</v>
      </c>
      <c r="E26" s="12">
        <v>704</v>
      </c>
      <c r="F26" s="12">
        <v>42</v>
      </c>
      <c r="G26" s="12">
        <v>224</v>
      </c>
      <c r="H26" s="12">
        <v>383</v>
      </c>
      <c r="I26" s="12">
        <v>690</v>
      </c>
      <c r="J26" s="12">
        <v>275</v>
      </c>
      <c r="K26" s="12">
        <v>210</v>
      </c>
      <c r="L26" s="12">
        <v>294</v>
      </c>
      <c r="M26" s="12">
        <v>695</v>
      </c>
      <c r="N26" s="12">
        <v>592</v>
      </c>
      <c r="O26" s="12">
        <v>335</v>
      </c>
      <c r="P26" s="12">
        <v>244</v>
      </c>
      <c r="Q26" s="12">
        <v>168</v>
      </c>
      <c r="R26" s="12">
        <v>543</v>
      </c>
      <c r="S26" s="12">
        <v>1342</v>
      </c>
      <c r="T26" s="12">
        <v>614</v>
      </c>
      <c r="U26" s="12">
        <v>445</v>
      </c>
      <c r="V26" s="10">
        <v>891</v>
      </c>
      <c r="W26" s="84">
        <v>0</v>
      </c>
      <c r="X26" s="85">
        <v>364</v>
      </c>
      <c r="Y26" s="12">
        <v>794</v>
      </c>
      <c r="Z26" s="12">
        <v>239</v>
      </c>
      <c r="AA26" s="12">
        <v>0</v>
      </c>
      <c r="AB26" s="85">
        <v>201</v>
      </c>
      <c r="AC26" s="12">
        <v>355</v>
      </c>
      <c r="AD26" s="85">
        <v>0</v>
      </c>
      <c r="AE26" s="12">
        <v>0</v>
      </c>
      <c r="AF26" s="10">
        <v>0</v>
      </c>
      <c r="AG26" s="12"/>
      <c r="AH26" s="13">
        <f>SUM(C26:AG26)</f>
        <v>12307</v>
      </c>
    </row>
    <row r="27" spans="1:34" x14ac:dyDescent="0.35">
      <c r="A27" s="93"/>
      <c r="B27" s="6" t="s">
        <v>29</v>
      </c>
      <c r="C27" s="25">
        <v>0.15620000000000001</v>
      </c>
      <c r="D27" s="46">
        <v>16.02</v>
      </c>
      <c r="E27" s="25">
        <v>0.1575</v>
      </c>
      <c r="F27" s="25">
        <v>0.15329999999999999</v>
      </c>
      <c r="G27" s="25">
        <v>0.1542</v>
      </c>
      <c r="H27" s="25">
        <v>0.16039999999999999</v>
      </c>
      <c r="I27" s="25">
        <v>0.16919999999999999</v>
      </c>
      <c r="J27" s="25">
        <v>0.154</v>
      </c>
      <c r="K27" s="25">
        <v>0.15620000000000001</v>
      </c>
      <c r="L27" s="25">
        <v>0.15359999999999999</v>
      </c>
      <c r="M27" s="25">
        <v>0.1515</v>
      </c>
      <c r="N27" s="25">
        <v>0.14810000000000001</v>
      </c>
      <c r="O27" s="25">
        <v>0.15210000000000001</v>
      </c>
      <c r="P27" s="25">
        <v>0.1527</v>
      </c>
      <c r="Q27" s="96">
        <v>0.15740000000000001</v>
      </c>
      <c r="R27" s="25">
        <v>0.1694</v>
      </c>
      <c r="S27" s="25">
        <v>0.15609999999999999</v>
      </c>
      <c r="T27" s="96">
        <v>0.15570000000000001</v>
      </c>
      <c r="U27" s="25">
        <v>0.14580000000000001</v>
      </c>
      <c r="V27" s="70">
        <v>0.14940000000000001</v>
      </c>
      <c r="W27" s="71">
        <v>0.15939999999999999</v>
      </c>
      <c r="X27" s="72">
        <v>0.16</v>
      </c>
      <c r="Y27" s="25">
        <v>0.1595</v>
      </c>
      <c r="Z27" s="25">
        <v>0.155</v>
      </c>
      <c r="AA27" s="25">
        <v>0.15840000000000001</v>
      </c>
      <c r="AB27" s="72">
        <v>0.14549999999999999</v>
      </c>
      <c r="AC27" s="25">
        <v>0.16969999999999999</v>
      </c>
      <c r="AD27" s="72">
        <v>0.1673</v>
      </c>
      <c r="AE27" s="25">
        <v>0.15459999999999999</v>
      </c>
      <c r="AF27" s="25">
        <v>0.14499999999999999</v>
      </c>
      <c r="AG27" s="25"/>
      <c r="AH27" s="17">
        <f>+AVERAGEIF(C27:AG27,"&gt;0")</f>
        <v>0.68490666666666644</v>
      </c>
    </row>
    <row r="28" spans="1:34" x14ac:dyDescent="0.35">
      <c r="A28" s="93"/>
      <c r="B28" s="6" t="s">
        <v>30</v>
      </c>
      <c r="C28" s="25">
        <v>3.5799999999999998E-2</v>
      </c>
      <c r="D28" s="47">
        <v>3.58</v>
      </c>
      <c r="E28" s="26">
        <v>3.5499999999999997E-2</v>
      </c>
      <c r="F28" s="25">
        <v>3.5499999999999997E-2</v>
      </c>
      <c r="G28" s="25">
        <v>3.5799999999999998E-2</v>
      </c>
      <c r="H28" s="25">
        <v>3.5799999999999998E-2</v>
      </c>
      <c r="I28" s="25">
        <v>3.5799999999999998E-2</v>
      </c>
      <c r="J28" s="25">
        <v>3.5799999999999998E-2</v>
      </c>
      <c r="K28" s="25">
        <v>3.4799999999999998E-2</v>
      </c>
      <c r="L28" s="25">
        <v>3.5200000000000002E-2</v>
      </c>
      <c r="M28" s="25">
        <v>3.5099999999999999E-2</v>
      </c>
      <c r="N28" s="25">
        <v>3.6200000000000003E-2</v>
      </c>
      <c r="O28" s="25">
        <v>3.5299999999999998E-2</v>
      </c>
      <c r="P28" s="25">
        <v>3.5499999999999997E-2</v>
      </c>
      <c r="Q28" s="26">
        <v>3.4599999999999999E-2</v>
      </c>
      <c r="R28" s="25">
        <v>3.49E-2</v>
      </c>
      <c r="S28" s="25">
        <v>3.5400000000000001E-2</v>
      </c>
      <c r="T28" s="26">
        <v>3.5000000000000003E-2</v>
      </c>
      <c r="U28" s="25">
        <v>3.5299999999999998E-2</v>
      </c>
      <c r="V28" s="73">
        <v>3.4799999999999998E-2</v>
      </c>
      <c r="W28" s="71">
        <v>3.5099999999999999E-2</v>
      </c>
      <c r="X28" s="72">
        <v>3.4799999999999998E-2</v>
      </c>
      <c r="Y28" s="25">
        <v>3.49E-2</v>
      </c>
      <c r="Z28" s="25">
        <v>3.4700000000000002E-2</v>
      </c>
      <c r="AA28" s="25">
        <v>3.5200000000000002E-2</v>
      </c>
      <c r="AB28" s="72">
        <v>3.5299999999999998E-2</v>
      </c>
      <c r="AC28" s="25">
        <v>3.5499999999999997E-2</v>
      </c>
      <c r="AD28" s="72">
        <v>3.5000000000000003E-2</v>
      </c>
      <c r="AE28" s="25">
        <v>3.5700000000000003E-2</v>
      </c>
      <c r="AF28" s="70">
        <v>3.5099999999999999E-2</v>
      </c>
      <c r="AG28" s="25"/>
      <c r="AH28" s="17">
        <f t="shared" ref="AH28:AH30" si="1">+AVERAGEIF(C28:AG28,"&gt;0")</f>
        <v>0.1534466666666667</v>
      </c>
    </row>
    <row r="29" spans="1:34" x14ac:dyDescent="0.35">
      <c r="A29" s="93"/>
      <c r="B29" s="6" t="s">
        <v>31</v>
      </c>
      <c r="C29" s="25">
        <v>5.6500000000000002E-2</v>
      </c>
      <c r="D29" s="47">
        <v>5.64</v>
      </c>
      <c r="E29" s="27">
        <v>5.6500000000000002E-2</v>
      </c>
      <c r="F29" s="25">
        <v>5.3800000000000001E-2</v>
      </c>
      <c r="G29" s="25">
        <v>5.6500000000000002E-2</v>
      </c>
      <c r="H29" s="25">
        <v>5.6500000000000002E-2</v>
      </c>
      <c r="I29" s="25">
        <v>5.6500000000000002E-2</v>
      </c>
      <c r="J29" s="25">
        <v>5.6899999999999999E-2</v>
      </c>
      <c r="K29" s="25">
        <v>5.5500000000000001E-2</v>
      </c>
      <c r="L29" s="25">
        <v>5.5500000000000001E-2</v>
      </c>
      <c r="M29" s="25">
        <v>5.5300000000000002E-2</v>
      </c>
      <c r="N29" s="25">
        <v>5.5899999999999998E-2</v>
      </c>
      <c r="O29" s="25">
        <v>5.4899999999999997E-2</v>
      </c>
      <c r="P29" s="25">
        <v>5.4600000000000003E-2</v>
      </c>
      <c r="Q29" s="26">
        <v>5.5E-2</v>
      </c>
      <c r="R29" s="25">
        <v>5.3800000000000001E-2</v>
      </c>
      <c r="S29" s="25">
        <v>5.4899999999999997E-2</v>
      </c>
      <c r="T29" s="26">
        <v>5.3800000000000001E-2</v>
      </c>
      <c r="U29" s="25">
        <v>5.5199999999999999E-2</v>
      </c>
      <c r="V29" s="73">
        <v>5.5199999999999999E-2</v>
      </c>
      <c r="W29" s="71">
        <v>0</v>
      </c>
      <c r="X29" s="72">
        <v>5.4600000000000003E-2</v>
      </c>
      <c r="Y29" s="25">
        <v>5.5300000000000002E-2</v>
      </c>
      <c r="Z29" s="25">
        <v>0</v>
      </c>
      <c r="AA29" s="25">
        <v>0</v>
      </c>
      <c r="AB29" s="72">
        <v>0</v>
      </c>
      <c r="AC29" s="25">
        <v>5.5599999999999997E-2</v>
      </c>
      <c r="AD29" s="72">
        <v>0</v>
      </c>
      <c r="AE29" s="25">
        <v>0</v>
      </c>
      <c r="AF29" s="70">
        <v>0</v>
      </c>
      <c r="AG29" s="25"/>
      <c r="AH29" s="17">
        <f t="shared" si="1"/>
        <v>0.29818695652173904</v>
      </c>
    </row>
    <row r="30" spans="1:34" x14ac:dyDescent="0.35">
      <c r="A30" s="93"/>
      <c r="B30" s="6" t="s">
        <v>32</v>
      </c>
      <c r="C30" s="28">
        <v>0</v>
      </c>
      <c r="D30" s="48">
        <v>3.78</v>
      </c>
      <c r="E30" s="26">
        <v>0</v>
      </c>
      <c r="F30" s="28">
        <v>0</v>
      </c>
      <c r="G30" s="25">
        <v>3.5799999999999998E-2</v>
      </c>
      <c r="H30" s="97">
        <v>3.5799999999999998E-2</v>
      </c>
      <c r="I30" s="97">
        <v>0</v>
      </c>
      <c r="J30" s="28">
        <v>3.5799999999999998E-2</v>
      </c>
      <c r="K30" s="28">
        <v>3.4799999999999998E-2</v>
      </c>
      <c r="L30" s="74">
        <v>3.5200000000000002E-2</v>
      </c>
      <c r="M30" s="75">
        <v>0</v>
      </c>
      <c r="N30" s="28">
        <v>3.6200000000000003E-2</v>
      </c>
      <c r="O30" s="74"/>
      <c r="P30" s="74">
        <v>3.5499999999999997E-2</v>
      </c>
      <c r="Q30" s="26">
        <v>0</v>
      </c>
      <c r="R30" s="28">
        <v>0</v>
      </c>
      <c r="S30" s="28">
        <v>0</v>
      </c>
      <c r="T30" s="26">
        <v>0</v>
      </c>
      <c r="U30" s="28">
        <v>3.6200000000000003E-2</v>
      </c>
      <c r="V30" s="73">
        <v>3.5000000000000003E-2</v>
      </c>
      <c r="W30" s="98">
        <v>0</v>
      </c>
      <c r="X30" s="99">
        <v>0</v>
      </c>
      <c r="Y30" s="28">
        <v>0</v>
      </c>
      <c r="Z30" s="28">
        <v>3.5200000000000002E-2</v>
      </c>
      <c r="AA30" s="28">
        <v>3.6400000000000002E-2</v>
      </c>
      <c r="AB30" s="99">
        <v>3.6200000000000003E-2</v>
      </c>
      <c r="AC30" s="28">
        <v>0</v>
      </c>
      <c r="AD30" s="99">
        <v>0</v>
      </c>
      <c r="AE30" s="28">
        <v>0</v>
      </c>
      <c r="AF30" s="10">
        <v>3.56E-2</v>
      </c>
      <c r="AG30" s="28"/>
      <c r="AH30" s="17">
        <f t="shared" si="1"/>
        <v>0.3031214285714286</v>
      </c>
    </row>
    <row r="31" spans="1:34" ht="18.5" x14ac:dyDescent="0.45">
      <c r="A31" s="93"/>
      <c r="B31" s="6" t="s">
        <v>33</v>
      </c>
      <c r="C31" s="12">
        <v>11462</v>
      </c>
      <c r="D31" s="10">
        <v>10558</v>
      </c>
      <c r="E31" s="12">
        <v>11002</v>
      </c>
      <c r="F31" s="12">
        <v>2273</v>
      </c>
      <c r="G31" s="12">
        <v>8335</v>
      </c>
      <c r="H31" s="12">
        <v>9512</v>
      </c>
      <c r="I31" s="12">
        <v>9395</v>
      </c>
      <c r="J31" s="12">
        <v>9784</v>
      </c>
      <c r="K31" s="12">
        <v>10232</v>
      </c>
      <c r="L31" s="12">
        <v>10773</v>
      </c>
      <c r="M31" s="12">
        <v>10235</v>
      </c>
      <c r="N31" s="12">
        <v>11815</v>
      </c>
      <c r="O31" s="12">
        <v>10816</v>
      </c>
      <c r="P31" s="12">
        <v>7637</v>
      </c>
      <c r="Q31" s="12">
        <v>7031</v>
      </c>
      <c r="R31" s="12">
        <v>7903</v>
      </c>
      <c r="S31" s="12">
        <v>10067</v>
      </c>
      <c r="T31" s="12">
        <v>10046</v>
      </c>
      <c r="U31" s="12">
        <v>10622</v>
      </c>
      <c r="V31" s="8">
        <v>9884</v>
      </c>
      <c r="W31" s="84">
        <v>8800</v>
      </c>
      <c r="X31" s="85">
        <v>9803</v>
      </c>
      <c r="Y31" s="12">
        <v>8616</v>
      </c>
      <c r="Z31" s="12">
        <v>8538</v>
      </c>
      <c r="AA31" s="12">
        <v>1491</v>
      </c>
      <c r="AB31" s="85">
        <v>9619</v>
      </c>
      <c r="AC31" s="12">
        <v>8635</v>
      </c>
      <c r="AD31" s="85">
        <v>8295</v>
      </c>
      <c r="AE31" s="12">
        <v>10675</v>
      </c>
      <c r="AF31" s="10">
        <v>10628</v>
      </c>
      <c r="AG31" s="12"/>
      <c r="AH31" s="13">
        <f>SUM(C31:AG31)</f>
        <v>274482</v>
      </c>
    </row>
    <row r="32" spans="1:34" ht="15.5" x14ac:dyDescent="0.35">
      <c r="A32" s="93"/>
      <c r="B32" s="6" t="s">
        <v>34</v>
      </c>
      <c r="C32" s="28">
        <v>2940</v>
      </c>
      <c r="D32" s="49">
        <v>2930</v>
      </c>
      <c r="E32" s="28">
        <v>4150</v>
      </c>
      <c r="F32" s="28">
        <v>1890</v>
      </c>
      <c r="G32" s="28">
        <v>1150</v>
      </c>
      <c r="H32" s="28">
        <v>2790</v>
      </c>
      <c r="I32" s="28">
        <v>3530</v>
      </c>
      <c r="J32" s="28">
        <v>2844</v>
      </c>
      <c r="K32" s="28">
        <v>4440</v>
      </c>
      <c r="L32" s="28">
        <v>4383</v>
      </c>
      <c r="M32" s="28">
        <v>4815</v>
      </c>
      <c r="N32" s="28">
        <v>2190</v>
      </c>
      <c r="O32" s="28">
        <v>7760</v>
      </c>
      <c r="P32" s="28">
        <v>2570</v>
      </c>
      <c r="Q32" s="28">
        <v>5540</v>
      </c>
      <c r="R32" s="28">
        <v>4820</v>
      </c>
      <c r="S32" s="28">
        <v>2420</v>
      </c>
      <c r="T32" s="28">
        <v>2660</v>
      </c>
      <c r="U32" s="28">
        <v>4210</v>
      </c>
      <c r="V32" s="40">
        <v>444</v>
      </c>
      <c r="W32" s="98">
        <v>8800</v>
      </c>
      <c r="X32" s="99">
        <v>5030</v>
      </c>
      <c r="Y32" s="28">
        <v>1630</v>
      </c>
      <c r="Z32" s="12">
        <v>5140</v>
      </c>
      <c r="AA32" s="12">
        <v>1160</v>
      </c>
      <c r="AB32" s="85">
        <v>3090</v>
      </c>
      <c r="AC32" s="12">
        <v>4530</v>
      </c>
      <c r="AD32" s="85">
        <v>8295</v>
      </c>
      <c r="AE32" s="12">
        <v>10675</v>
      </c>
      <c r="AF32" s="10">
        <v>4150</v>
      </c>
      <c r="AG32" s="12"/>
      <c r="AH32" s="13">
        <f>SUM(C32:AG32)</f>
        <v>120976</v>
      </c>
    </row>
    <row r="33" spans="1:34" ht="15.5" x14ac:dyDescent="0.35">
      <c r="A33" s="93"/>
      <c r="B33" s="6" t="s">
        <v>35</v>
      </c>
      <c r="C33" s="28">
        <v>8522</v>
      </c>
      <c r="D33" s="49">
        <v>5458</v>
      </c>
      <c r="E33" s="29">
        <v>6852</v>
      </c>
      <c r="F33" s="28">
        <v>383</v>
      </c>
      <c r="G33" s="28">
        <v>2645</v>
      </c>
      <c r="H33" s="28">
        <v>2922</v>
      </c>
      <c r="I33" s="28">
        <v>5865</v>
      </c>
      <c r="J33" s="28">
        <v>2800</v>
      </c>
      <c r="K33" s="28">
        <v>1760</v>
      </c>
      <c r="L33" s="28">
        <v>2750</v>
      </c>
      <c r="M33" s="28">
        <v>5420</v>
      </c>
      <c r="N33" s="28">
        <v>5155</v>
      </c>
      <c r="O33" s="28">
        <v>3056</v>
      </c>
      <c r="P33" s="28">
        <v>2317</v>
      </c>
      <c r="Q33" s="99">
        <v>1491</v>
      </c>
      <c r="R33" s="28">
        <v>3083</v>
      </c>
      <c r="S33" s="28">
        <v>4080</v>
      </c>
      <c r="T33" s="100">
        <v>2986</v>
      </c>
      <c r="U33" s="28">
        <v>1392</v>
      </c>
      <c r="V33" s="41">
        <v>4930</v>
      </c>
      <c r="W33" s="98">
        <v>0</v>
      </c>
      <c r="X33" s="99">
        <v>4773</v>
      </c>
      <c r="Y33" s="28">
        <v>6986</v>
      </c>
      <c r="Z33" s="12"/>
      <c r="AA33" s="12"/>
      <c r="AB33" s="85"/>
      <c r="AC33" s="12">
        <v>4105</v>
      </c>
      <c r="AD33" s="85">
        <v>0</v>
      </c>
      <c r="AE33" s="12">
        <v>0</v>
      </c>
      <c r="AF33" s="10">
        <v>0</v>
      </c>
      <c r="AG33" s="12"/>
      <c r="AH33" s="13">
        <f>SUM(C33:AG33)</f>
        <v>89731</v>
      </c>
    </row>
    <row r="34" spans="1:34" ht="18.5" x14ac:dyDescent="0.45">
      <c r="A34" s="93"/>
      <c r="B34" s="6" t="s">
        <v>36</v>
      </c>
      <c r="C34" s="28">
        <v>0</v>
      </c>
      <c r="D34" s="49">
        <v>2170</v>
      </c>
      <c r="E34" s="30">
        <v>0</v>
      </c>
      <c r="F34" s="28">
        <v>0</v>
      </c>
      <c r="G34" s="28">
        <v>4540</v>
      </c>
      <c r="H34" s="28">
        <v>3800</v>
      </c>
      <c r="I34" s="28">
        <v>0</v>
      </c>
      <c r="J34" s="28">
        <v>4140</v>
      </c>
      <c r="K34" s="28">
        <v>4032</v>
      </c>
      <c r="L34" s="28">
        <v>3640</v>
      </c>
      <c r="M34" s="28">
        <v>0</v>
      </c>
      <c r="N34" s="28">
        <v>4470</v>
      </c>
      <c r="O34" s="28">
        <v>0</v>
      </c>
      <c r="P34" s="28">
        <v>2750</v>
      </c>
      <c r="Q34" s="30">
        <v>0</v>
      </c>
      <c r="R34" s="28">
        <v>0</v>
      </c>
      <c r="S34" s="28">
        <v>3567</v>
      </c>
      <c r="T34" s="30">
        <v>4400</v>
      </c>
      <c r="U34" s="28">
        <v>5020</v>
      </c>
      <c r="V34" s="9">
        <v>4510</v>
      </c>
      <c r="W34" s="98">
        <v>0</v>
      </c>
      <c r="X34" s="99">
        <v>0</v>
      </c>
      <c r="Y34" s="28">
        <v>0</v>
      </c>
      <c r="Z34" s="12">
        <v>3398</v>
      </c>
      <c r="AA34" s="12">
        <v>331</v>
      </c>
      <c r="AB34" s="85">
        <v>0</v>
      </c>
      <c r="AC34" s="12">
        <v>0</v>
      </c>
      <c r="AD34" s="85">
        <v>0</v>
      </c>
      <c r="AE34" s="12">
        <v>0</v>
      </c>
      <c r="AF34" s="10"/>
      <c r="AG34" s="12"/>
      <c r="AH34" s="13">
        <f>+SUM(C34:AG34)</f>
        <v>50768</v>
      </c>
    </row>
    <row r="35" spans="1:34" ht="18.5" x14ac:dyDescent="0.45">
      <c r="A35" s="95"/>
      <c r="B35" s="6" t="s">
        <v>37</v>
      </c>
      <c r="C35" s="28">
        <v>0</v>
      </c>
      <c r="D35" s="49">
        <v>0</v>
      </c>
      <c r="E35" s="28">
        <v>0</v>
      </c>
      <c r="F35" s="28">
        <v>0</v>
      </c>
      <c r="G35" s="28">
        <v>0</v>
      </c>
      <c r="H35" s="28">
        <v>0</v>
      </c>
      <c r="I35" s="28">
        <v>0</v>
      </c>
      <c r="J35" s="28">
        <v>0</v>
      </c>
      <c r="K35" s="28">
        <v>0</v>
      </c>
      <c r="L35" s="28">
        <v>0</v>
      </c>
      <c r="M35" s="28">
        <v>0</v>
      </c>
      <c r="N35" s="28">
        <v>0</v>
      </c>
      <c r="O35" s="28">
        <v>0</v>
      </c>
      <c r="P35" s="28">
        <v>0</v>
      </c>
      <c r="Q35" s="28">
        <v>0</v>
      </c>
      <c r="R35" s="28">
        <v>0</v>
      </c>
      <c r="S35" s="28">
        <v>0</v>
      </c>
      <c r="T35" s="30">
        <v>0</v>
      </c>
      <c r="U35" s="28">
        <v>0</v>
      </c>
      <c r="V35" s="9">
        <v>0</v>
      </c>
      <c r="W35" s="98">
        <v>0</v>
      </c>
      <c r="X35" s="99">
        <v>0</v>
      </c>
      <c r="Y35" s="28">
        <v>0</v>
      </c>
      <c r="Z35" s="12">
        <v>0</v>
      </c>
      <c r="AA35" s="12">
        <v>0</v>
      </c>
      <c r="AB35" s="85">
        <v>6529</v>
      </c>
      <c r="AC35" s="12">
        <v>0</v>
      </c>
      <c r="AD35" s="85">
        <v>0</v>
      </c>
      <c r="AE35" s="12">
        <v>0</v>
      </c>
      <c r="AF35" s="10">
        <v>6478</v>
      </c>
      <c r="AG35" s="12"/>
      <c r="AH35" s="13">
        <f>+SUM(C35:AG35)</f>
        <v>13007</v>
      </c>
    </row>
    <row r="36" spans="1:34" ht="15.5" x14ac:dyDescent="0.35">
      <c r="A36" s="101" t="s">
        <v>70</v>
      </c>
      <c r="B36" s="6" t="s">
        <v>18</v>
      </c>
      <c r="C36" s="31">
        <v>23.5</v>
      </c>
      <c r="D36" s="48">
        <v>23.25</v>
      </c>
      <c r="E36" s="32">
        <v>23.5</v>
      </c>
      <c r="F36" s="31">
        <v>5.333333333333333</v>
      </c>
      <c r="G36" s="28">
        <v>19.416666666666668</v>
      </c>
      <c r="H36" s="31">
        <v>23.416666666666671</v>
      </c>
      <c r="I36" s="31">
        <v>23.25</v>
      </c>
      <c r="J36" s="31">
        <v>22.333333333333336</v>
      </c>
      <c r="K36" s="102">
        <v>23.333333333333336</v>
      </c>
      <c r="L36" s="28">
        <v>23.500000000000004</v>
      </c>
      <c r="M36" s="28">
        <v>22.916666666666668</v>
      </c>
      <c r="N36" s="28">
        <v>22.583333333333332</v>
      </c>
      <c r="O36" s="28">
        <v>22.75</v>
      </c>
      <c r="P36" s="28">
        <v>15.500000000000002</v>
      </c>
      <c r="Q36" s="32">
        <v>15.083333333333334</v>
      </c>
      <c r="R36" s="31">
        <v>17.491666666666671</v>
      </c>
      <c r="S36" s="31">
        <v>19.250000000000004</v>
      </c>
      <c r="T36" s="52">
        <v>22.666666666666668</v>
      </c>
      <c r="U36" s="102">
        <v>21.916666666666671</v>
      </c>
      <c r="V36" s="53">
        <v>18.5</v>
      </c>
      <c r="W36" s="103">
        <v>19.750000000000004</v>
      </c>
      <c r="X36" s="99">
        <v>21</v>
      </c>
      <c r="Y36" s="28">
        <v>17.666666666666668</v>
      </c>
      <c r="Z36" s="12">
        <v>17.75</v>
      </c>
      <c r="AA36" s="12">
        <v>3.5833333333333326</v>
      </c>
      <c r="AB36" s="85">
        <v>17.25</v>
      </c>
      <c r="AC36" s="12">
        <v>19.583333333333336</v>
      </c>
      <c r="AD36" s="37">
        <v>19.666666666666668</v>
      </c>
      <c r="AE36" s="12">
        <v>22.416666666666664</v>
      </c>
      <c r="AF36" s="10">
        <v>21.000000000000004</v>
      </c>
      <c r="AG36" s="12"/>
      <c r="AH36" s="33">
        <f t="shared" ref="AH36:AH50" si="2">SUM(C36:AG36)</f>
        <v>589.1583333333333</v>
      </c>
    </row>
    <row r="37" spans="1:34" x14ac:dyDescent="0.35">
      <c r="A37" s="101"/>
      <c r="B37" s="6" t="s">
        <v>38</v>
      </c>
      <c r="C37" s="31">
        <v>6.15</v>
      </c>
      <c r="D37" s="48">
        <v>6.8</v>
      </c>
      <c r="E37" s="32">
        <v>10</v>
      </c>
      <c r="F37" s="31">
        <v>4.5</v>
      </c>
      <c r="G37" s="28">
        <v>2.9</v>
      </c>
      <c r="H37" s="31">
        <v>7.8</v>
      </c>
      <c r="I37" s="31">
        <v>9.1</v>
      </c>
      <c r="J37" s="31">
        <v>7.44</v>
      </c>
      <c r="K37" s="102">
        <v>11.45</v>
      </c>
      <c r="L37" s="28">
        <v>10.88</v>
      </c>
      <c r="M37" s="28">
        <v>11.46</v>
      </c>
      <c r="N37" s="28">
        <v>5</v>
      </c>
      <c r="O37" s="28">
        <v>16.75</v>
      </c>
      <c r="P37" s="28">
        <v>6.2</v>
      </c>
      <c r="Q37" s="32">
        <v>12.08</v>
      </c>
      <c r="R37" s="31">
        <v>11.16</v>
      </c>
      <c r="S37" s="31">
        <v>5.5</v>
      </c>
      <c r="T37" s="32">
        <v>6.5</v>
      </c>
      <c r="U37" s="102">
        <v>10</v>
      </c>
      <c r="V37" s="76">
        <v>1.1499999999999999</v>
      </c>
      <c r="W37" s="98">
        <v>19.75</v>
      </c>
      <c r="X37" s="104">
        <v>11.5</v>
      </c>
      <c r="Y37" s="28">
        <v>4.25</v>
      </c>
      <c r="Z37" s="12">
        <v>11.75</v>
      </c>
      <c r="AA37" s="12">
        <v>2.83</v>
      </c>
      <c r="AB37" s="85">
        <v>6.15</v>
      </c>
      <c r="AC37" s="12">
        <v>11</v>
      </c>
      <c r="AD37" s="37">
        <v>19.670000000000002</v>
      </c>
      <c r="AE37" s="12">
        <v>22.42</v>
      </c>
      <c r="AF37" s="10">
        <v>9.4</v>
      </c>
      <c r="AG37" s="12"/>
      <c r="AH37" s="33">
        <f t="shared" si="2"/>
        <v>281.54000000000002</v>
      </c>
    </row>
    <row r="38" spans="1:34" x14ac:dyDescent="0.35">
      <c r="A38" s="101"/>
      <c r="B38" s="6" t="s">
        <v>39</v>
      </c>
      <c r="C38" s="31">
        <v>17.183333333333337</v>
      </c>
      <c r="D38" s="48">
        <v>11.149999999999999</v>
      </c>
      <c r="E38" s="32">
        <v>13.5</v>
      </c>
      <c r="F38" s="31">
        <v>0.83333333333333304</v>
      </c>
      <c r="G38" s="31">
        <v>6.52</v>
      </c>
      <c r="H38" s="31">
        <v>6.8</v>
      </c>
      <c r="I38" s="31">
        <v>14.15</v>
      </c>
      <c r="J38" s="31">
        <v>6</v>
      </c>
      <c r="K38" s="31">
        <v>3.88</v>
      </c>
      <c r="L38" s="31">
        <v>5.92</v>
      </c>
      <c r="M38" s="31">
        <v>11.46</v>
      </c>
      <c r="N38" s="31">
        <v>9.5</v>
      </c>
      <c r="O38" s="28">
        <v>6</v>
      </c>
      <c r="P38" s="28">
        <v>4.4000000000000004</v>
      </c>
      <c r="Q38" s="32">
        <v>3</v>
      </c>
      <c r="R38" s="31">
        <v>6.33</v>
      </c>
      <c r="S38" s="31">
        <v>7.5</v>
      </c>
      <c r="T38" s="32">
        <v>6.5</v>
      </c>
      <c r="U38" s="102">
        <v>3</v>
      </c>
      <c r="V38" s="76">
        <v>9.66</v>
      </c>
      <c r="W38" s="103">
        <v>0</v>
      </c>
      <c r="X38" s="104">
        <v>9.5</v>
      </c>
      <c r="Y38" s="28">
        <v>13.42</v>
      </c>
      <c r="Z38" s="12">
        <v>0</v>
      </c>
      <c r="AA38" s="12">
        <v>0</v>
      </c>
      <c r="AB38" s="85">
        <v>0</v>
      </c>
      <c r="AC38" s="12">
        <v>8.5833333333333357</v>
      </c>
      <c r="AD38" s="37">
        <v>-3.3333333333338544E-3</v>
      </c>
      <c r="AE38" s="12">
        <v>-3.3333333333374071E-3</v>
      </c>
      <c r="AF38" s="10">
        <v>0</v>
      </c>
      <c r="AG38" s="12"/>
      <c r="AH38" s="33">
        <f t="shared" si="2"/>
        <v>184.78333333333333</v>
      </c>
    </row>
    <row r="39" spans="1:34" x14ac:dyDescent="0.35">
      <c r="A39" s="101"/>
      <c r="B39" s="6" t="s">
        <v>40</v>
      </c>
      <c r="C39" s="31">
        <v>0</v>
      </c>
      <c r="D39" s="48">
        <v>0</v>
      </c>
      <c r="E39" s="32">
        <v>0</v>
      </c>
      <c r="F39" s="31">
        <v>0</v>
      </c>
      <c r="G39" s="31">
        <v>0</v>
      </c>
      <c r="H39" s="31">
        <v>0</v>
      </c>
      <c r="I39" s="31">
        <v>0</v>
      </c>
      <c r="J39" s="31">
        <v>0</v>
      </c>
      <c r="K39" s="31">
        <v>0</v>
      </c>
      <c r="L39" s="31">
        <v>0</v>
      </c>
      <c r="M39" s="31">
        <v>0</v>
      </c>
      <c r="N39" s="31">
        <v>0</v>
      </c>
      <c r="O39" s="28">
        <v>0</v>
      </c>
      <c r="P39" s="28">
        <v>0</v>
      </c>
      <c r="Q39" s="32">
        <v>0</v>
      </c>
      <c r="R39" s="31">
        <v>0</v>
      </c>
      <c r="S39" s="31">
        <v>0</v>
      </c>
      <c r="T39" s="32">
        <v>0</v>
      </c>
      <c r="U39" s="102">
        <v>0</v>
      </c>
      <c r="V39" s="76">
        <v>0</v>
      </c>
      <c r="W39" s="103">
        <v>0</v>
      </c>
      <c r="X39" s="104">
        <v>0</v>
      </c>
      <c r="Y39" s="28">
        <v>0</v>
      </c>
      <c r="Z39" s="12">
        <v>0</v>
      </c>
      <c r="AA39" s="12">
        <v>0</v>
      </c>
      <c r="AB39" s="91">
        <v>0</v>
      </c>
      <c r="AC39" s="19">
        <v>0</v>
      </c>
      <c r="AD39" s="37">
        <v>0</v>
      </c>
      <c r="AE39" s="19">
        <v>0</v>
      </c>
      <c r="AF39" s="10"/>
      <c r="AG39" s="19"/>
      <c r="AH39" s="33">
        <f>SUM(C39:AG39)</f>
        <v>0</v>
      </c>
    </row>
    <row r="40" spans="1:34" x14ac:dyDescent="0.35">
      <c r="A40" s="101"/>
      <c r="B40" s="6" t="s">
        <v>41</v>
      </c>
      <c r="C40" s="31">
        <v>10.33</v>
      </c>
      <c r="D40" s="48">
        <v>5.3</v>
      </c>
      <c r="E40" s="32">
        <v>0</v>
      </c>
      <c r="F40" s="31">
        <v>0</v>
      </c>
      <c r="G40" s="31">
        <v>10</v>
      </c>
      <c r="H40" s="31">
        <v>8.82</v>
      </c>
      <c r="I40" s="31">
        <v>0</v>
      </c>
      <c r="J40" s="31">
        <v>8.89</v>
      </c>
      <c r="K40" s="31">
        <v>8</v>
      </c>
      <c r="L40" s="31">
        <v>6.7</v>
      </c>
      <c r="M40" s="31">
        <v>0</v>
      </c>
      <c r="N40" s="31">
        <v>0</v>
      </c>
      <c r="O40" s="28">
        <v>0</v>
      </c>
      <c r="P40" s="28">
        <v>4.9000000000000004</v>
      </c>
      <c r="Q40" s="32">
        <v>4.9000000000000004</v>
      </c>
      <c r="R40" s="31">
        <v>4.9000000000000004</v>
      </c>
      <c r="S40" s="31">
        <v>4.9000000000000004</v>
      </c>
      <c r="T40" s="32">
        <v>4.9000000000000004</v>
      </c>
      <c r="U40" s="102">
        <v>8.92</v>
      </c>
      <c r="V40" s="76">
        <v>7.69</v>
      </c>
      <c r="W40" s="103">
        <v>0</v>
      </c>
      <c r="X40" s="104">
        <v>0</v>
      </c>
      <c r="Y40" s="28">
        <v>0</v>
      </c>
      <c r="Z40" s="12">
        <v>6</v>
      </c>
      <c r="AA40" s="12">
        <v>0.75</v>
      </c>
      <c r="AB40" s="91">
        <v>11.1</v>
      </c>
      <c r="AC40" s="19">
        <v>0</v>
      </c>
      <c r="AD40" s="37">
        <v>0</v>
      </c>
      <c r="AE40" s="19">
        <v>0</v>
      </c>
      <c r="AF40" s="10">
        <v>11.600000000000003</v>
      </c>
      <c r="AG40" s="19"/>
      <c r="AH40" s="33">
        <f>SUM(C40:AG40)</f>
        <v>128.60000000000002</v>
      </c>
    </row>
    <row r="41" spans="1:34" x14ac:dyDescent="0.35">
      <c r="A41" s="101"/>
      <c r="B41" s="6" t="s">
        <v>42</v>
      </c>
      <c r="C41" s="19">
        <v>23.5</v>
      </c>
      <c r="D41" s="43">
        <v>23.5</v>
      </c>
      <c r="E41" s="34">
        <v>23.666666666666668</v>
      </c>
      <c r="F41" s="19">
        <v>6</v>
      </c>
      <c r="G41" s="19">
        <v>20.000000000000004</v>
      </c>
      <c r="H41" s="19">
        <v>23.5</v>
      </c>
      <c r="I41" s="19">
        <v>23.333333333333336</v>
      </c>
      <c r="J41" s="19">
        <v>23.333333333333336</v>
      </c>
      <c r="K41" s="19">
        <v>23.833333333333336</v>
      </c>
      <c r="L41" s="19">
        <v>23.833333333333336</v>
      </c>
      <c r="M41" s="19">
        <v>23.000000000000004</v>
      </c>
      <c r="N41" s="19">
        <v>22.666666666666668</v>
      </c>
      <c r="O41" s="19">
        <v>23.5</v>
      </c>
      <c r="P41" s="19">
        <v>23.666666666666668</v>
      </c>
      <c r="Q41" s="34">
        <v>21</v>
      </c>
      <c r="R41" s="19">
        <v>23.933333333333334</v>
      </c>
      <c r="S41" s="19">
        <v>24</v>
      </c>
      <c r="T41" s="34">
        <v>23.5</v>
      </c>
      <c r="U41" s="19">
        <v>23.333333333333336</v>
      </c>
      <c r="V41" s="77">
        <v>23.583333333333332</v>
      </c>
      <c r="W41" s="94">
        <v>22.5</v>
      </c>
      <c r="X41" s="37">
        <v>24</v>
      </c>
      <c r="Y41" s="19">
        <v>23.5</v>
      </c>
      <c r="Z41" s="19">
        <v>23.666666666666668</v>
      </c>
      <c r="AA41" s="19">
        <v>3.9999999999999991</v>
      </c>
      <c r="AB41" s="37">
        <v>9.75</v>
      </c>
      <c r="AC41" s="19">
        <v>22.666666666666668</v>
      </c>
      <c r="AD41" s="37">
        <v>20.000000000000004</v>
      </c>
      <c r="AE41" s="19">
        <v>23.000000000000004</v>
      </c>
      <c r="AF41" s="10">
        <v>22.5</v>
      </c>
      <c r="AG41" s="19"/>
      <c r="AH41" s="33">
        <f t="shared" si="2"/>
        <v>642.26666666666665</v>
      </c>
    </row>
    <row r="42" spans="1:34" x14ac:dyDescent="0.35">
      <c r="A42" s="101"/>
      <c r="B42" s="6" t="s">
        <v>43</v>
      </c>
      <c r="C42" s="19">
        <v>23.333333333333336</v>
      </c>
      <c r="D42" s="43">
        <v>23.166666666666668</v>
      </c>
      <c r="E42" s="34">
        <v>23.5</v>
      </c>
      <c r="F42" s="19">
        <v>5.6666666666666679</v>
      </c>
      <c r="G42" s="19">
        <v>20.000000000000004</v>
      </c>
      <c r="H42" s="19">
        <v>23.5</v>
      </c>
      <c r="I42" s="19">
        <v>23.666666666666668</v>
      </c>
      <c r="J42" s="19">
        <v>23.000000000000004</v>
      </c>
      <c r="K42" s="19">
        <v>23.666666666666668</v>
      </c>
      <c r="L42" s="19">
        <v>23.5</v>
      </c>
      <c r="M42" s="19">
        <v>23.000000000000004</v>
      </c>
      <c r="N42" s="19">
        <v>22.250000000000004</v>
      </c>
      <c r="O42" s="19">
        <v>23.000000000000004</v>
      </c>
      <c r="P42" s="19">
        <v>13.000000000000002</v>
      </c>
      <c r="Q42" s="34">
        <v>20.333333333333336</v>
      </c>
      <c r="R42" s="19">
        <v>13.000000000000002</v>
      </c>
      <c r="S42" s="19">
        <v>23.750000000000004</v>
      </c>
      <c r="T42" s="34">
        <v>23.333333333333336</v>
      </c>
      <c r="U42" s="19">
        <v>21</v>
      </c>
      <c r="V42" s="77">
        <v>23.25</v>
      </c>
      <c r="W42" s="94">
        <v>22.416666666666668</v>
      </c>
      <c r="X42" s="37">
        <v>23.166666666666668</v>
      </c>
      <c r="Y42" s="19">
        <v>23.833333333333336</v>
      </c>
      <c r="Z42" s="19">
        <v>23.666666666666668</v>
      </c>
      <c r="AA42" s="19">
        <v>3.9999999999999991</v>
      </c>
      <c r="AB42" s="37">
        <v>21.833333333333336</v>
      </c>
      <c r="AC42" s="19">
        <v>22.916666666666668</v>
      </c>
      <c r="AD42" s="37">
        <v>20.000000000000004</v>
      </c>
      <c r="AE42" s="19">
        <v>22.666666666666668</v>
      </c>
      <c r="AF42" s="10">
        <v>22.416666666666668</v>
      </c>
      <c r="AG42" s="19"/>
      <c r="AH42" s="33">
        <f t="shared" si="2"/>
        <v>625.83333333333326</v>
      </c>
    </row>
    <row r="43" spans="1:34" x14ac:dyDescent="0.35">
      <c r="A43" s="101"/>
      <c r="B43" s="6" t="s">
        <v>44</v>
      </c>
      <c r="C43" s="19">
        <v>23.5</v>
      </c>
      <c r="D43" s="43">
        <v>23.083333333333336</v>
      </c>
      <c r="E43" s="34">
        <v>23.5</v>
      </c>
      <c r="F43" s="19">
        <v>5.166666666666667</v>
      </c>
      <c r="G43" s="19">
        <v>17</v>
      </c>
      <c r="H43" s="19">
        <v>23.5</v>
      </c>
      <c r="I43" s="19">
        <v>23.5</v>
      </c>
      <c r="J43" s="19">
        <v>23.000000000000004</v>
      </c>
      <c r="K43" s="19">
        <v>23.666666666666668</v>
      </c>
      <c r="L43" s="19">
        <v>23.5</v>
      </c>
      <c r="M43" s="19">
        <v>23.000000000000004</v>
      </c>
      <c r="N43" s="19">
        <v>22.75</v>
      </c>
      <c r="O43" s="19">
        <v>22.916666666666668</v>
      </c>
      <c r="P43" s="19">
        <v>23.833333333333336</v>
      </c>
      <c r="Q43" s="34">
        <v>20.666666666666668</v>
      </c>
      <c r="R43" s="19">
        <v>23.666666666666668</v>
      </c>
      <c r="S43" s="19">
        <v>23.5</v>
      </c>
      <c r="T43" s="34">
        <v>23.166666666666668</v>
      </c>
      <c r="U43" s="19">
        <v>19.916666666666668</v>
      </c>
      <c r="V43" s="77">
        <v>3.75</v>
      </c>
      <c r="W43" s="94">
        <v>11.333333333333334</v>
      </c>
      <c r="X43" s="37">
        <v>14.749999999999998</v>
      </c>
      <c r="Y43" s="19">
        <v>0</v>
      </c>
      <c r="Z43" s="19">
        <v>0</v>
      </c>
      <c r="AA43" s="19">
        <v>0</v>
      </c>
      <c r="AB43" s="37">
        <v>8.25</v>
      </c>
      <c r="AC43" s="19">
        <v>10.583333333333334</v>
      </c>
      <c r="AD43" s="37">
        <v>20.000000000000004</v>
      </c>
      <c r="AE43" s="19">
        <v>22.833333333333332</v>
      </c>
      <c r="AF43" s="10">
        <v>22.5</v>
      </c>
      <c r="AG43" s="19"/>
      <c r="AH43" s="33">
        <f t="shared" si="2"/>
        <v>526.83333333333326</v>
      </c>
    </row>
    <row r="44" spans="1:34" x14ac:dyDescent="0.35">
      <c r="A44" s="101"/>
      <c r="B44" s="6" t="s">
        <v>45</v>
      </c>
      <c r="C44" s="19">
        <v>22.916666666666668</v>
      </c>
      <c r="D44" s="43">
        <v>23.166666666666668</v>
      </c>
      <c r="E44" s="34">
        <v>23.5</v>
      </c>
      <c r="F44" s="19">
        <v>5.166666666666667</v>
      </c>
      <c r="G44" s="19">
        <v>20.000000000000004</v>
      </c>
      <c r="H44" s="19">
        <v>23.333333333333336</v>
      </c>
      <c r="I44" s="19">
        <v>23.5</v>
      </c>
      <c r="J44" s="19">
        <v>23.000000000000004</v>
      </c>
      <c r="K44" s="19">
        <v>23.000000000000004</v>
      </c>
      <c r="L44" s="19">
        <v>23.5</v>
      </c>
      <c r="M44" s="19">
        <v>23.000000000000004</v>
      </c>
      <c r="N44" s="19">
        <v>21.583333333333336</v>
      </c>
      <c r="O44" s="19">
        <v>22.583333333333336</v>
      </c>
      <c r="P44" s="19">
        <v>23.833333333333336</v>
      </c>
      <c r="Q44" s="34">
        <v>19.666666666666668</v>
      </c>
      <c r="R44" s="19">
        <v>23.416666666666668</v>
      </c>
      <c r="S44" s="19">
        <v>23.5</v>
      </c>
      <c r="T44" s="34">
        <v>22.833333333333332</v>
      </c>
      <c r="U44" s="19">
        <v>23.000000000000004</v>
      </c>
      <c r="V44" s="77">
        <v>23.666666666666668</v>
      </c>
      <c r="W44" s="94">
        <v>22.083333333333332</v>
      </c>
      <c r="X44" s="37">
        <v>23.166666666666668</v>
      </c>
      <c r="Y44" s="19">
        <v>23.666666666666668</v>
      </c>
      <c r="Z44" s="19">
        <v>23.666666666666668</v>
      </c>
      <c r="AA44" s="19">
        <v>4.7499999999999991</v>
      </c>
      <c r="AB44" s="37">
        <v>22.916666666666668</v>
      </c>
      <c r="AC44" s="19">
        <v>22.333333333333336</v>
      </c>
      <c r="AD44" s="37">
        <v>19.75</v>
      </c>
      <c r="AE44" s="19">
        <v>22.083333333333332</v>
      </c>
      <c r="AF44" s="10">
        <v>22.333333333333336</v>
      </c>
      <c r="AG44" s="19"/>
      <c r="AH44" s="33">
        <f t="shared" si="2"/>
        <v>644.91666666666674</v>
      </c>
    </row>
    <row r="45" spans="1:34" x14ac:dyDescent="0.35">
      <c r="A45" s="101"/>
      <c r="B45" s="6" t="s">
        <v>46</v>
      </c>
      <c r="C45" s="19">
        <v>23.25</v>
      </c>
      <c r="D45" s="43">
        <v>23.166666666666668</v>
      </c>
      <c r="E45" s="34">
        <v>23.166666666666668</v>
      </c>
      <c r="F45" s="19">
        <v>5.166666666666667</v>
      </c>
      <c r="G45" s="19">
        <v>20.000000000000004</v>
      </c>
      <c r="H45" s="19">
        <v>23.333333333333336</v>
      </c>
      <c r="I45" s="19">
        <v>23.5</v>
      </c>
      <c r="J45" s="19">
        <v>23.000000000000004</v>
      </c>
      <c r="K45" s="19">
        <v>23.333333333333336</v>
      </c>
      <c r="L45" s="19">
        <v>23.5</v>
      </c>
      <c r="M45" s="19">
        <v>22.75</v>
      </c>
      <c r="N45" s="19">
        <v>22.833333333333332</v>
      </c>
      <c r="O45" s="19">
        <v>22.583333333333336</v>
      </c>
      <c r="P45" s="19">
        <v>12.833333333333336</v>
      </c>
      <c r="Q45" s="34">
        <v>19.333333333333336</v>
      </c>
      <c r="R45" s="19">
        <v>23.333333333333336</v>
      </c>
      <c r="S45" s="19">
        <v>23.166666666666668</v>
      </c>
      <c r="T45" s="34">
        <v>23.166666666666668</v>
      </c>
      <c r="U45" s="19">
        <v>22.916666666666668</v>
      </c>
      <c r="V45" s="77">
        <v>23.666666666666668</v>
      </c>
      <c r="W45" s="94">
        <v>22.416666666666668</v>
      </c>
      <c r="X45" s="37">
        <v>22.833333333333332</v>
      </c>
      <c r="Y45" s="19">
        <v>23.750000000000004</v>
      </c>
      <c r="Z45" s="19">
        <v>23.750000000000004</v>
      </c>
      <c r="AA45" s="19">
        <v>4.8333333333333321</v>
      </c>
      <c r="AB45" s="37">
        <v>22.583333333333336</v>
      </c>
      <c r="AC45" s="19">
        <v>22.5</v>
      </c>
      <c r="AD45" s="37">
        <v>19</v>
      </c>
      <c r="AE45" s="19">
        <v>20.833333333333336</v>
      </c>
      <c r="AF45" s="10">
        <v>20.916666666666668</v>
      </c>
      <c r="AG45" s="19"/>
      <c r="AH45" s="33">
        <f t="shared" si="2"/>
        <v>631.41666666666674</v>
      </c>
    </row>
    <row r="46" spans="1:34" x14ac:dyDescent="0.35">
      <c r="A46" s="101"/>
      <c r="B46" s="6" t="s">
        <v>47</v>
      </c>
      <c r="C46" s="19">
        <v>23.333333333333336</v>
      </c>
      <c r="D46" s="43">
        <v>23.5</v>
      </c>
      <c r="E46" s="34">
        <v>23.5</v>
      </c>
      <c r="F46" s="19">
        <v>5.166666666666667</v>
      </c>
      <c r="G46" s="19">
        <v>18.333333333333332</v>
      </c>
      <c r="H46" s="19">
        <v>23.333333333333336</v>
      </c>
      <c r="I46" s="19">
        <v>23.000000000000004</v>
      </c>
      <c r="J46" s="19">
        <v>20.000000000000004</v>
      </c>
      <c r="K46" s="19">
        <v>23.333333333333336</v>
      </c>
      <c r="L46" s="19">
        <v>23.5</v>
      </c>
      <c r="M46" s="19">
        <v>22.833333333333332</v>
      </c>
      <c r="N46" s="19">
        <v>23.083333333333336</v>
      </c>
      <c r="O46" s="19">
        <v>22.666666666666668</v>
      </c>
      <c r="P46" s="19">
        <v>0.99999999999999911</v>
      </c>
      <c r="Q46" s="34">
        <v>0</v>
      </c>
      <c r="R46" s="19">
        <v>8.7500000000000018</v>
      </c>
      <c r="S46" s="19">
        <v>10.5</v>
      </c>
      <c r="T46" s="34">
        <v>23.083333333333336</v>
      </c>
      <c r="U46" s="19">
        <v>19</v>
      </c>
      <c r="V46" s="77">
        <v>3.75</v>
      </c>
      <c r="W46" s="94">
        <v>11.5</v>
      </c>
      <c r="X46" s="37">
        <v>14.083333333333334</v>
      </c>
      <c r="Y46" s="19">
        <v>0</v>
      </c>
      <c r="Z46" s="19">
        <v>0</v>
      </c>
      <c r="AA46" s="19">
        <v>0</v>
      </c>
      <c r="AB46" s="37">
        <v>6.666666666666667</v>
      </c>
      <c r="AC46" s="19">
        <v>10</v>
      </c>
      <c r="AD46" s="37">
        <v>19</v>
      </c>
      <c r="AE46" s="19">
        <v>22.833333333333332</v>
      </c>
      <c r="AF46" s="10">
        <v>21</v>
      </c>
      <c r="AG46" s="19"/>
      <c r="AH46" s="33">
        <f t="shared" si="2"/>
        <v>446.75</v>
      </c>
    </row>
    <row r="47" spans="1:34" x14ac:dyDescent="0.35">
      <c r="A47" s="101"/>
      <c r="B47" s="6" t="s">
        <v>48</v>
      </c>
      <c r="C47" s="19">
        <v>23.333333333333336</v>
      </c>
      <c r="D47" s="43">
        <v>23.166666666666668</v>
      </c>
      <c r="E47" s="34">
        <v>23.5</v>
      </c>
      <c r="F47" s="19">
        <v>5.166666666666667</v>
      </c>
      <c r="G47" s="19">
        <v>20.000000000000004</v>
      </c>
      <c r="H47" s="19">
        <v>23.333333333333336</v>
      </c>
      <c r="I47" s="19">
        <v>22.666666666666668</v>
      </c>
      <c r="J47" s="19">
        <v>20.000000000000004</v>
      </c>
      <c r="K47" s="19">
        <v>22</v>
      </c>
      <c r="L47" s="19">
        <v>22.833333333333332</v>
      </c>
      <c r="M47" s="19">
        <v>22.75</v>
      </c>
      <c r="N47" s="19">
        <v>22.250000000000004</v>
      </c>
      <c r="O47" s="19">
        <v>22.583333333333336</v>
      </c>
      <c r="P47" s="19">
        <v>5.8333333333333313</v>
      </c>
      <c r="Q47" s="34">
        <v>0</v>
      </c>
      <c r="R47" s="19">
        <v>0</v>
      </c>
      <c r="S47" s="19">
        <v>2.333333333333333</v>
      </c>
      <c r="T47" s="34">
        <v>18.666666666666668</v>
      </c>
      <c r="U47" s="105">
        <v>22.833333333333332</v>
      </c>
      <c r="V47" s="77">
        <v>22.666666666666668</v>
      </c>
      <c r="W47" s="94">
        <v>22.416666666666668</v>
      </c>
      <c r="X47" s="37">
        <v>22.333333333333336</v>
      </c>
      <c r="Y47" s="19">
        <v>22.916666666666668</v>
      </c>
      <c r="Z47" s="19">
        <v>23.833333333333336</v>
      </c>
      <c r="AA47" s="19">
        <v>5.5833333333333321</v>
      </c>
      <c r="AB47" s="37">
        <v>22.75</v>
      </c>
      <c r="AC47" s="19">
        <v>22.333333333333336</v>
      </c>
      <c r="AD47" s="37">
        <v>19.583333333333336</v>
      </c>
      <c r="AE47" s="19">
        <v>21.916666666666668</v>
      </c>
      <c r="AF47" s="10">
        <v>15.333333333333332</v>
      </c>
      <c r="AG47" s="19"/>
      <c r="AH47" s="33">
        <f t="shared" si="2"/>
        <v>544.91666666666663</v>
      </c>
    </row>
    <row r="48" spans="1:34" x14ac:dyDescent="0.35">
      <c r="A48" s="101"/>
      <c r="B48" s="6" t="s">
        <v>49</v>
      </c>
      <c r="C48" s="19">
        <v>23.5</v>
      </c>
      <c r="D48" s="43">
        <v>23.25</v>
      </c>
      <c r="E48" s="34">
        <v>23.666666666666668</v>
      </c>
      <c r="F48" s="19">
        <v>5.166666666666667</v>
      </c>
      <c r="G48" s="19">
        <v>20.000000000000004</v>
      </c>
      <c r="H48" s="19">
        <v>23.5</v>
      </c>
      <c r="I48" s="19">
        <v>22.833333333333332</v>
      </c>
      <c r="J48" s="19">
        <v>23.333333333333336</v>
      </c>
      <c r="K48" s="19">
        <v>23.833333333333336</v>
      </c>
      <c r="L48" s="19">
        <v>23.833333333333336</v>
      </c>
      <c r="M48" s="19">
        <v>23.000000000000004</v>
      </c>
      <c r="N48" s="19">
        <v>23.25</v>
      </c>
      <c r="O48" s="19">
        <v>21.916666666666668</v>
      </c>
      <c r="P48" s="19">
        <v>20.000000000000004</v>
      </c>
      <c r="Q48" s="34">
        <v>19.666666666666668</v>
      </c>
      <c r="R48" s="19">
        <v>23.833333333333336</v>
      </c>
      <c r="S48" s="19">
        <v>23.25</v>
      </c>
      <c r="T48" s="34">
        <v>23.583333333333332</v>
      </c>
      <c r="U48" s="105">
        <v>23.333333333333336</v>
      </c>
      <c r="V48" s="77">
        <v>23.666666666666668</v>
      </c>
      <c r="W48" s="94">
        <v>23.333333333333336</v>
      </c>
      <c r="X48" s="37">
        <v>23.666666666666668</v>
      </c>
      <c r="Y48" s="19">
        <v>23.666666666666668</v>
      </c>
      <c r="Z48" s="19">
        <v>23.416666666666668</v>
      </c>
      <c r="AA48" s="19">
        <v>5.4999999999999991</v>
      </c>
      <c r="AB48" s="37">
        <v>23.25</v>
      </c>
      <c r="AC48" s="19">
        <v>23.333333333333336</v>
      </c>
      <c r="AD48" s="37">
        <v>20.000000000000004</v>
      </c>
      <c r="AE48" s="19">
        <v>23.166666666666668</v>
      </c>
      <c r="AF48" s="10">
        <v>21</v>
      </c>
      <c r="AG48" s="19"/>
      <c r="AH48" s="33">
        <f t="shared" si="2"/>
        <v>648.75000000000011</v>
      </c>
    </row>
    <row r="49" spans="1:34" x14ac:dyDescent="0.35">
      <c r="A49" s="101"/>
      <c r="B49" s="6" t="s">
        <v>50</v>
      </c>
      <c r="C49" s="12">
        <v>95686</v>
      </c>
      <c r="D49" s="10">
        <v>83862</v>
      </c>
      <c r="E49" s="12">
        <v>85186</v>
      </c>
      <c r="F49" s="12">
        <v>19536</v>
      </c>
      <c r="G49" s="12">
        <v>88998</v>
      </c>
      <c r="H49" s="12">
        <v>92366</v>
      </c>
      <c r="I49" s="12">
        <v>88290</v>
      </c>
      <c r="J49" s="12">
        <v>87256</v>
      </c>
      <c r="K49" s="12">
        <v>84368</v>
      </c>
      <c r="L49" s="12">
        <v>81990</v>
      </c>
      <c r="M49" s="12">
        <v>83111</v>
      </c>
      <c r="N49" s="12">
        <v>100409</v>
      </c>
      <c r="O49" s="12">
        <v>96107</v>
      </c>
      <c r="P49" s="12">
        <v>82533</v>
      </c>
      <c r="Q49" s="12">
        <v>80827</v>
      </c>
      <c r="R49" s="12">
        <v>91192</v>
      </c>
      <c r="S49" s="12">
        <v>85348</v>
      </c>
      <c r="T49" s="12">
        <v>74482</v>
      </c>
      <c r="U49" s="12">
        <v>79749</v>
      </c>
      <c r="V49" s="56">
        <v>95056</v>
      </c>
      <c r="W49" s="84">
        <v>94955</v>
      </c>
      <c r="X49" s="85">
        <v>94778</v>
      </c>
      <c r="Y49" s="12">
        <v>96265</v>
      </c>
      <c r="Z49" s="12">
        <v>97459</v>
      </c>
      <c r="AA49" s="12">
        <v>19408</v>
      </c>
      <c r="AB49" s="85">
        <v>93071</v>
      </c>
      <c r="AC49" s="12">
        <v>96886</v>
      </c>
      <c r="AD49" s="85">
        <v>78624</v>
      </c>
      <c r="AE49" s="12">
        <v>98936</v>
      </c>
      <c r="AF49" s="10">
        <v>89795</v>
      </c>
      <c r="AG49" s="12"/>
      <c r="AH49" s="13">
        <f t="shared" si="2"/>
        <v>2536529</v>
      </c>
    </row>
    <row r="50" spans="1:34" x14ac:dyDescent="0.35">
      <c r="A50" s="101"/>
      <c r="B50" s="6" t="s">
        <v>51</v>
      </c>
      <c r="C50" s="35">
        <v>8713.5833333333321</v>
      </c>
      <c r="D50" s="50">
        <v>7898</v>
      </c>
      <c r="E50" s="14">
        <v>8248.6666666666661</v>
      </c>
      <c r="F50" s="35">
        <v>1725.3333333333333</v>
      </c>
      <c r="G50" s="35">
        <v>7487</v>
      </c>
      <c r="H50" s="35">
        <v>7945.333333333333</v>
      </c>
      <c r="I50" s="35">
        <v>7694</v>
      </c>
      <c r="J50" s="35">
        <v>8114.8</v>
      </c>
      <c r="K50" s="35">
        <v>7035</v>
      </c>
      <c r="L50" s="35">
        <v>8008.7333333333336</v>
      </c>
      <c r="M50" s="35">
        <v>7405.4</v>
      </c>
      <c r="N50" s="35">
        <v>9979</v>
      </c>
      <c r="O50" s="35">
        <v>8527</v>
      </c>
      <c r="P50" s="35">
        <v>7637</v>
      </c>
      <c r="Q50" s="14">
        <v>7031</v>
      </c>
      <c r="R50" s="35">
        <v>7903</v>
      </c>
      <c r="S50" s="35">
        <v>8387</v>
      </c>
      <c r="T50" s="14">
        <v>6150.08</v>
      </c>
      <c r="U50" s="35">
        <v>7337.0599999999995</v>
      </c>
      <c r="V50" s="69">
        <v>9284</v>
      </c>
      <c r="W50" s="78">
        <v>7821.82</v>
      </c>
      <c r="X50" s="79">
        <v>8010</v>
      </c>
      <c r="Y50" s="12">
        <v>8616</v>
      </c>
      <c r="Z50" s="12">
        <v>8538</v>
      </c>
      <c r="AA50" s="12">
        <v>1491</v>
      </c>
      <c r="AB50" s="85">
        <v>9619</v>
      </c>
      <c r="AC50" s="12">
        <v>8007.1</v>
      </c>
      <c r="AD50" s="85">
        <v>6481.583333333333</v>
      </c>
      <c r="AE50" s="12">
        <v>8723.1666666666661</v>
      </c>
      <c r="AF50" s="10">
        <v>8525.5</v>
      </c>
      <c r="AG50" s="12"/>
      <c r="AH50" s="13">
        <f t="shared" si="2"/>
        <v>228344.16</v>
      </c>
    </row>
    <row r="51" spans="1:34" ht="15.5" x14ac:dyDescent="0.35">
      <c r="A51" s="101"/>
      <c r="B51" s="6" t="s">
        <v>52</v>
      </c>
      <c r="C51" s="19">
        <v>10.981245756147013</v>
      </c>
      <c r="D51" s="43">
        <v>10.618131172448722</v>
      </c>
      <c r="E51" s="34">
        <v>10.327244807241575</v>
      </c>
      <c r="F51" s="19">
        <v>11.323029366306029</v>
      </c>
      <c r="G51" s="19">
        <v>11.887004140510218</v>
      </c>
      <c r="H51" s="19">
        <v>11.625188790065447</v>
      </c>
      <c r="I51" s="19">
        <v>11.475175461398493</v>
      </c>
      <c r="J51" s="19">
        <v>10.752698772613003</v>
      </c>
      <c r="K51" s="19">
        <v>11.992608386638237</v>
      </c>
      <c r="L51" s="19">
        <v>10.237573981736604</v>
      </c>
      <c r="M51" s="19">
        <v>11.223026440165285</v>
      </c>
      <c r="N51" s="19">
        <v>10.062030263553462</v>
      </c>
      <c r="O51" s="19">
        <v>11.270904186701067</v>
      </c>
      <c r="P51" s="19">
        <v>10.80699227445332</v>
      </c>
      <c r="Q51" s="34">
        <v>11.495804295263831</v>
      </c>
      <c r="R51" s="19">
        <v>11.538909274958876</v>
      </c>
      <c r="S51" s="19">
        <v>10.176225110289733</v>
      </c>
      <c r="T51" s="54">
        <v>12.110736770903793</v>
      </c>
      <c r="U51" s="19">
        <v>10.86934003538202</v>
      </c>
      <c r="V51" s="55">
        <v>10.238690219732874</v>
      </c>
      <c r="W51" s="94">
        <v>12.139757754589086</v>
      </c>
      <c r="X51" s="37">
        <v>11.832459425717852</v>
      </c>
      <c r="Y51" s="19">
        <v>11.172818012999072</v>
      </c>
      <c r="Z51" s="19">
        <v>11.41473412977278</v>
      </c>
      <c r="AA51" s="19">
        <v>13.016767270288398</v>
      </c>
      <c r="AB51" s="37">
        <v>9.6757459195342559</v>
      </c>
      <c r="AC51" s="19">
        <v>12.100011240024477</v>
      </c>
      <c r="AD51" s="37">
        <v>12.130369379909745</v>
      </c>
      <c r="AE51" s="19">
        <v>11.341752803836528</v>
      </c>
      <c r="AF51" s="10">
        <v>10.532520086798428</v>
      </c>
      <c r="AG51" s="19"/>
      <c r="AH51" s="36">
        <f>+AH49/AH50</f>
        <v>11.108359416768092</v>
      </c>
    </row>
    <row r="52" spans="1:34" x14ac:dyDescent="0.35">
      <c r="A52" s="101"/>
      <c r="B52" s="6" t="s">
        <v>53</v>
      </c>
      <c r="C52" s="28">
        <v>26962.139999999978</v>
      </c>
      <c r="D52" s="49">
        <v>29210.579999999998</v>
      </c>
      <c r="E52" s="12">
        <v>28086.360000000022</v>
      </c>
      <c r="F52" s="28">
        <v>6036.7000000000262</v>
      </c>
      <c r="G52" s="28">
        <v>8994.6199999999626</v>
      </c>
      <c r="H52" s="28">
        <v>17612.780000000024</v>
      </c>
      <c r="I52" s="28">
        <v>18737</v>
      </c>
      <c r="J52" s="28">
        <v>13115.900000000052</v>
      </c>
      <c r="K52" s="28">
        <v>11952.539999999964</v>
      </c>
      <c r="L52" s="28">
        <v>355.6000000000131</v>
      </c>
      <c r="M52" s="28">
        <v>1439.8199999999888</v>
      </c>
      <c r="N52" s="28">
        <v>-748.6199999999626</v>
      </c>
      <c r="O52" s="28">
        <v>0</v>
      </c>
      <c r="P52" s="28">
        <v>0</v>
      </c>
      <c r="Q52" s="12">
        <v>0</v>
      </c>
      <c r="R52" s="28">
        <v>0</v>
      </c>
      <c r="S52" s="28">
        <v>0</v>
      </c>
      <c r="T52" s="12">
        <v>0</v>
      </c>
      <c r="U52" s="12">
        <v>0</v>
      </c>
      <c r="V52" s="56">
        <v>0</v>
      </c>
      <c r="W52" s="98">
        <v>0</v>
      </c>
      <c r="X52" s="99">
        <v>0</v>
      </c>
      <c r="Y52" s="19">
        <v>0</v>
      </c>
      <c r="Z52" s="28">
        <v>0</v>
      </c>
      <c r="AA52" s="28">
        <v>0</v>
      </c>
      <c r="AB52" s="99">
        <v>0</v>
      </c>
      <c r="AC52" s="28">
        <v>7120.060000000015</v>
      </c>
      <c r="AD52" s="99">
        <v>20611</v>
      </c>
      <c r="AE52" s="28">
        <v>20611</v>
      </c>
      <c r="AF52" s="10">
        <v>21756</v>
      </c>
      <c r="AG52" s="28"/>
      <c r="AH52" s="13">
        <f>SUM(C52:AG52)</f>
        <v>231853.48000000004</v>
      </c>
    </row>
    <row r="53" spans="1:34" x14ac:dyDescent="0.35">
      <c r="A53" s="101"/>
      <c r="B53" s="6" t="s">
        <v>54</v>
      </c>
      <c r="C53" s="28">
        <v>2748.416666666667</v>
      </c>
      <c r="D53" s="49">
        <v>2660.0000000000005</v>
      </c>
      <c r="E53" s="14">
        <v>2753.3333333333335</v>
      </c>
      <c r="F53" s="28">
        <v>547.66666666666674</v>
      </c>
      <c r="G53" s="28">
        <v>848</v>
      </c>
      <c r="H53" s="28">
        <v>1566.6666666666667</v>
      </c>
      <c r="I53" s="28">
        <v>1701</v>
      </c>
      <c r="J53" s="28">
        <v>1242.0000000000002</v>
      </c>
      <c r="K53" s="28">
        <v>1089</v>
      </c>
      <c r="L53" s="28">
        <v>0</v>
      </c>
      <c r="M53" s="28">
        <v>0</v>
      </c>
      <c r="N53" s="28">
        <v>0</v>
      </c>
      <c r="O53" s="28">
        <v>0</v>
      </c>
      <c r="P53" s="28">
        <v>0</v>
      </c>
      <c r="Q53" s="14">
        <v>0</v>
      </c>
      <c r="R53" s="28">
        <v>0</v>
      </c>
      <c r="S53" s="28">
        <v>0</v>
      </c>
      <c r="T53" s="14">
        <v>0</v>
      </c>
      <c r="U53" s="28">
        <v>0</v>
      </c>
      <c r="V53" s="69">
        <v>0</v>
      </c>
      <c r="W53" s="98">
        <v>0</v>
      </c>
      <c r="X53" s="99">
        <v>0</v>
      </c>
      <c r="Y53" s="19">
        <v>0</v>
      </c>
      <c r="Z53" s="28">
        <v>0</v>
      </c>
      <c r="AA53" s="28">
        <v>0</v>
      </c>
      <c r="AB53" s="99">
        <v>0</v>
      </c>
      <c r="AC53" s="28">
        <v>627.90000000000009</v>
      </c>
      <c r="AD53" s="99">
        <v>1813.4166666666667</v>
      </c>
      <c r="AE53" s="28">
        <v>1951.8333333333335</v>
      </c>
      <c r="AF53" s="10">
        <v>2102.5</v>
      </c>
      <c r="AG53" s="28"/>
      <c r="AH53" s="13">
        <f>SUM(C53:AG53)</f>
        <v>21651.733333333334</v>
      </c>
    </row>
    <row r="54" spans="1:34" ht="15.5" x14ac:dyDescent="0.35">
      <c r="A54" s="101"/>
      <c r="B54" s="6" t="s">
        <v>55</v>
      </c>
      <c r="C54" s="19">
        <v>9.8100627634092259</v>
      </c>
      <c r="D54" s="43">
        <v>10.981421052631577</v>
      </c>
      <c r="E54" s="34">
        <v>10.200857142857151</v>
      </c>
      <c r="F54" s="19">
        <v>11.022580645161337</v>
      </c>
      <c r="G54" s="19">
        <v>10.606863207547125</v>
      </c>
      <c r="H54" s="19">
        <v>11.242200000000015</v>
      </c>
      <c r="I54" s="19">
        <v>11.015285126396238</v>
      </c>
      <c r="J54" s="19">
        <v>10.560305958132085</v>
      </c>
      <c r="K54" s="19">
        <v>10.97570247933881</v>
      </c>
      <c r="L54" s="19">
        <v>0</v>
      </c>
      <c r="M54" s="19">
        <v>0</v>
      </c>
      <c r="N54" s="19">
        <v>0</v>
      </c>
      <c r="O54" s="19" t="e">
        <v>#DIV/0!</v>
      </c>
      <c r="P54" s="19" t="e">
        <v>#DIV/0!</v>
      </c>
      <c r="Q54" s="34" t="e">
        <v>#DIV/0!</v>
      </c>
      <c r="R54" s="31" t="e">
        <v>#DIV/0!</v>
      </c>
      <c r="S54" s="31" t="e">
        <v>#DIV/0!</v>
      </c>
      <c r="T54" s="54" t="e">
        <v>#DIV/0!</v>
      </c>
      <c r="U54" s="31" t="e">
        <v>#DIV/0!</v>
      </c>
      <c r="V54" s="55" t="e">
        <v>#DIV/0!</v>
      </c>
      <c r="W54" s="106" t="e">
        <v>#DIV/0!</v>
      </c>
      <c r="X54" s="99" t="e">
        <v>#DIV/0!</v>
      </c>
      <c r="Y54" s="19" t="e">
        <v>#DIV/0!</v>
      </c>
      <c r="Z54" s="19" t="e">
        <v>#DIV/0!</v>
      </c>
      <c r="AA54" s="19" t="e">
        <v>#DIV/0!</v>
      </c>
      <c r="AB54" s="37" t="e">
        <v>#DIV/0!</v>
      </c>
      <c r="AC54" s="19">
        <v>11.339480809046048</v>
      </c>
      <c r="AD54" s="37">
        <v>11.365837967005191</v>
      </c>
      <c r="AE54" s="19">
        <v>10.559815558022372</v>
      </c>
      <c r="AF54" s="10">
        <v>10.347681331747919</v>
      </c>
      <c r="AG54" s="19"/>
      <c r="AH54" s="33">
        <f>+AH52/AH53</f>
        <v>10.708310343128804</v>
      </c>
    </row>
    <row r="55" spans="1:34" x14ac:dyDescent="0.35">
      <c r="A55" s="101"/>
      <c r="B55" s="6" t="s">
        <v>56</v>
      </c>
      <c r="C55" s="28">
        <v>0</v>
      </c>
      <c r="D55" s="49">
        <v>0</v>
      </c>
      <c r="E55" s="12">
        <v>0</v>
      </c>
      <c r="F55" s="28">
        <v>0</v>
      </c>
      <c r="G55" s="28">
        <v>0</v>
      </c>
      <c r="H55" s="28">
        <v>0</v>
      </c>
      <c r="I55" s="28">
        <v>0</v>
      </c>
      <c r="J55" s="28">
        <v>4642.9000000000042</v>
      </c>
      <c r="K55" s="28">
        <v>23678.79</v>
      </c>
      <c r="L55" s="28">
        <v>29714.560000000005</v>
      </c>
      <c r="M55" s="28">
        <v>31107.429999999997</v>
      </c>
      <c r="N55" s="28">
        <v>18107.310000000005</v>
      </c>
      <c r="O55" s="82">
        <v>24143.07999999998</v>
      </c>
      <c r="P55" s="28">
        <v>0</v>
      </c>
      <c r="Q55" s="12">
        <v>0</v>
      </c>
      <c r="R55" s="28">
        <v>0</v>
      </c>
      <c r="S55" s="28">
        <v>16714.440000000013</v>
      </c>
      <c r="T55" s="12">
        <v>44438.12999999999</v>
      </c>
      <c r="U55" s="28">
        <v>35889.880000000005</v>
      </c>
      <c r="V55" s="56">
        <v>6035.769999999995</v>
      </c>
      <c r="W55" s="98">
        <v>11142.96000000001</v>
      </c>
      <c r="X55" s="99">
        <v>19964.469999999987</v>
      </c>
      <c r="Y55" s="28">
        <v>0</v>
      </c>
      <c r="Z55" s="28">
        <v>0</v>
      </c>
      <c r="AA55" s="28">
        <v>0</v>
      </c>
      <c r="AB55" s="99">
        <v>0</v>
      </c>
      <c r="AC55" s="28">
        <v>0</v>
      </c>
      <c r="AD55" s="99">
        <v>0</v>
      </c>
      <c r="AE55" s="28">
        <v>0</v>
      </c>
      <c r="AF55" s="10">
        <v>0</v>
      </c>
      <c r="AG55" s="28"/>
      <c r="AH55" s="13">
        <f>SUM(C55:AG55)</f>
        <v>265579.72000000003</v>
      </c>
    </row>
    <row r="56" spans="1:34" x14ac:dyDescent="0.35">
      <c r="A56" s="101"/>
      <c r="B56" s="6" t="s">
        <v>57</v>
      </c>
      <c r="C56" s="28">
        <v>0</v>
      </c>
      <c r="D56" s="49">
        <v>0</v>
      </c>
      <c r="E56" s="14">
        <v>0</v>
      </c>
      <c r="F56" s="28">
        <v>0</v>
      </c>
      <c r="G56" s="28">
        <v>0</v>
      </c>
      <c r="H56" s="28">
        <v>0</v>
      </c>
      <c r="I56" s="28">
        <v>0</v>
      </c>
      <c r="J56" s="28">
        <v>427.2</v>
      </c>
      <c r="K56" s="28">
        <v>2108</v>
      </c>
      <c r="L56" s="28">
        <v>2764.2666666666669</v>
      </c>
      <c r="M56" s="28">
        <v>2829.6</v>
      </c>
      <c r="N56" s="28">
        <v>1836</v>
      </c>
      <c r="O56" s="28">
        <v>2289</v>
      </c>
      <c r="P56" s="28">
        <v>0</v>
      </c>
      <c r="Q56" s="14">
        <v>0</v>
      </c>
      <c r="R56" s="28">
        <v>0</v>
      </c>
      <c r="S56" s="28">
        <v>1680</v>
      </c>
      <c r="T56" s="14">
        <v>3895.9200000000005</v>
      </c>
      <c r="U56" s="28">
        <v>3284.94</v>
      </c>
      <c r="V56" s="69">
        <v>600</v>
      </c>
      <c r="W56" s="98">
        <v>978.18</v>
      </c>
      <c r="X56" s="99">
        <v>1793</v>
      </c>
      <c r="Y56" s="28">
        <v>0</v>
      </c>
      <c r="Z56" s="28">
        <v>0</v>
      </c>
      <c r="AA56" s="28">
        <v>0</v>
      </c>
      <c r="AB56" s="99">
        <v>0</v>
      </c>
      <c r="AC56" s="28">
        <v>0</v>
      </c>
      <c r="AD56" s="99">
        <v>0</v>
      </c>
      <c r="AE56" s="28">
        <v>0</v>
      </c>
      <c r="AF56" s="10">
        <v>0</v>
      </c>
      <c r="AG56" s="28"/>
      <c r="AH56" s="13">
        <f>SUM(C56:AG56)</f>
        <v>24486.106666666667</v>
      </c>
    </row>
    <row r="57" spans="1:34" ht="15.5" x14ac:dyDescent="0.35">
      <c r="A57" s="101"/>
      <c r="B57" s="6" t="s">
        <v>58</v>
      </c>
      <c r="C57" s="37">
        <v>0</v>
      </c>
      <c r="D57" s="51">
        <v>0</v>
      </c>
      <c r="E57" s="19">
        <v>0</v>
      </c>
      <c r="F57" s="37">
        <v>0</v>
      </c>
      <c r="G57" s="37">
        <v>0</v>
      </c>
      <c r="H57" s="37">
        <v>0</v>
      </c>
      <c r="I57" s="37">
        <v>0</v>
      </c>
      <c r="J57" s="37">
        <v>10.868211610486901</v>
      </c>
      <c r="K57" s="37">
        <v>11.232822580645161</v>
      </c>
      <c r="L57" s="37">
        <v>10.749527300791049</v>
      </c>
      <c r="M57" s="37">
        <v>10.993578597681651</v>
      </c>
      <c r="N57" s="37">
        <v>9.8623692810457548</v>
      </c>
      <c r="O57" s="37">
        <v>10.547435561380507</v>
      </c>
      <c r="P57" s="37" t="e">
        <v>#DIV/0!</v>
      </c>
      <c r="Q57" s="19" t="e">
        <v>#DIV/0!</v>
      </c>
      <c r="R57" s="37" t="e">
        <v>#DIV/0!</v>
      </c>
      <c r="S57" s="37">
        <v>9.9490714285714361</v>
      </c>
      <c r="T57" s="54">
        <v>11.406325078543704</v>
      </c>
      <c r="U57" s="19">
        <v>10.925581593575531</v>
      </c>
      <c r="V57" s="55">
        <v>10.059616666666658</v>
      </c>
      <c r="W57" s="94">
        <v>11.391523032570703</v>
      </c>
      <c r="X57" s="37">
        <v>11.134673731176791</v>
      </c>
      <c r="Y57" s="31" t="e">
        <v>#DIV/0!</v>
      </c>
      <c r="Z57" s="31" t="e">
        <v>#DIV/0!</v>
      </c>
      <c r="AA57" s="31" t="e">
        <v>#DIV/0!</v>
      </c>
      <c r="AB57" s="107" t="e">
        <v>#DIV/0!</v>
      </c>
      <c r="AC57" s="31" t="e">
        <v>#DIV/0!</v>
      </c>
      <c r="AD57" s="107" t="e">
        <v>#DIV/0!</v>
      </c>
      <c r="AE57" s="31" t="e">
        <v>#DIV/0!</v>
      </c>
      <c r="AF57" s="10" t="e">
        <v>#DIV/0!</v>
      </c>
      <c r="AG57" s="31"/>
      <c r="AH57" s="33">
        <f>+AH55/AH56</f>
        <v>10.846139143939041</v>
      </c>
    </row>
    <row r="58" spans="1:34" x14ac:dyDescent="0.35">
      <c r="A58" s="101"/>
      <c r="B58" s="6" t="s">
        <v>59</v>
      </c>
      <c r="C58" s="12">
        <v>103120.40638632</v>
      </c>
      <c r="D58" s="10">
        <v>103929.86039022543</v>
      </c>
      <c r="E58" s="14">
        <v>99725.142519541929</v>
      </c>
      <c r="F58" s="12">
        <v>108741.8864936209</v>
      </c>
      <c r="G58" s="12">
        <v>110670.58356328729</v>
      </c>
      <c r="H58" s="12">
        <v>110219.00525651811</v>
      </c>
      <c r="I58" s="12">
        <v>108893.49334752528</v>
      </c>
      <c r="J58" s="12">
        <v>102272.81919460349</v>
      </c>
      <c r="K58" s="12">
        <v>113560.03503713834</v>
      </c>
      <c r="L58" s="12">
        <v>99884.310591293062</v>
      </c>
      <c r="M58" s="12">
        <v>108749.14406448459</v>
      </c>
      <c r="N58" s="12">
        <v>94107.640922556107</v>
      </c>
      <c r="O58" s="12">
        <v>105768.08108357986</v>
      </c>
      <c r="P58" s="12">
        <v>99997.099515516558</v>
      </c>
      <c r="Q58" s="14">
        <v>106370.67714407624</v>
      </c>
      <c r="R58" s="12">
        <v>106769.52752119448</v>
      </c>
      <c r="S58" s="12">
        <v>95963.284593225399</v>
      </c>
      <c r="T58" s="14">
        <v>115270.17892693609</v>
      </c>
      <c r="U58" s="12">
        <v>105117.27838448503</v>
      </c>
      <c r="V58" s="69">
        <v>95430.042644678266</v>
      </c>
      <c r="W58" s="84">
        <v>113201.91397727274</v>
      </c>
      <c r="X58" s="85">
        <v>110946.24018157704</v>
      </c>
      <c r="Y58" s="12">
        <v>103382.0850742804</v>
      </c>
      <c r="Z58" s="12">
        <v>105620.53490278753</v>
      </c>
      <c r="AA58" s="12">
        <v>120444.14755197853</v>
      </c>
      <c r="AB58" s="85">
        <v>89529.676993450455</v>
      </c>
      <c r="AC58" s="12">
        <v>112890.19316734222</v>
      </c>
      <c r="AD58" s="85">
        <v>115036.63315250151</v>
      </c>
      <c r="AE58" s="12">
        <v>106995.3918501171</v>
      </c>
      <c r="AF58" s="10">
        <v>100695.25169363944</v>
      </c>
      <c r="AG58" s="12"/>
      <c r="AH58" s="13">
        <f>SUM(C58:AG58)</f>
        <v>3173302.5661257538</v>
      </c>
    </row>
    <row r="59" spans="1:34" x14ac:dyDescent="0.35">
      <c r="A59" s="101"/>
      <c r="B59" s="6" t="s">
        <v>60</v>
      </c>
      <c r="C59" s="12">
        <v>31484</v>
      </c>
      <c r="D59" s="10">
        <v>30224</v>
      </c>
      <c r="E59" s="12">
        <v>31281</v>
      </c>
      <c r="F59" s="12">
        <v>10893</v>
      </c>
      <c r="G59" s="12">
        <v>26509</v>
      </c>
      <c r="H59" s="12">
        <v>29321</v>
      </c>
      <c r="I59" s="12">
        <v>32742</v>
      </c>
      <c r="J59" s="12">
        <v>29869</v>
      </c>
      <c r="K59" s="12">
        <v>32107</v>
      </c>
      <c r="L59" s="12">
        <v>32519</v>
      </c>
      <c r="M59" s="12">
        <v>33766</v>
      </c>
      <c r="N59" s="12">
        <v>33455</v>
      </c>
      <c r="O59" s="12">
        <v>34532</v>
      </c>
      <c r="P59" s="12">
        <v>24574</v>
      </c>
      <c r="Q59" s="12">
        <v>27518</v>
      </c>
      <c r="R59" s="12">
        <v>30036</v>
      </c>
      <c r="S59" s="12">
        <v>30982</v>
      </c>
      <c r="T59" s="12">
        <v>35982</v>
      </c>
      <c r="U59" s="12">
        <v>34878</v>
      </c>
      <c r="V59" s="56">
        <v>29040</v>
      </c>
      <c r="W59" s="84">
        <v>29496</v>
      </c>
      <c r="X59" s="85">
        <v>32171</v>
      </c>
      <c r="Y59" s="12">
        <v>27869</v>
      </c>
      <c r="Z59" s="12">
        <v>27081</v>
      </c>
      <c r="AA59" s="12">
        <v>9521</v>
      </c>
      <c r="AB59" s="85">
        <v>26729</v>
      </c>
      <c r="AC59" s="12">
        <v>30854</v>
      </c>
      <c r="AD59" s="85">
        <v>28125</v>
      </c>
      <c r="AE59" s="12">
        <v>32376</v>
      </c>
      <c r="AF59" s="10">
        <v>30803</v>
      </c>
      <c r="AG59" s="12"/>
      <c r="AH59" s="13">
        <f>SUM(C59:AG59)</f>
        <v>876737</v>
      </c>
    </row>
    <row r="60" spans="1:34" ht="15.5" x14ac:dyDescent="0.35">
      <c r="A60" s="101"/>
      <c r="B60" s="6" t="s">
        <v>61</v>
      </c>
      <c r="C60" s="19">
        <v>2.7468155644739136</v>
      </c>
      <c r="D60" s="43">
        <v>2.8626633832165185</v>
      </c>
      <c r="E60" s="19">
        <v>2.8432103253953827</v>
      </c>
      <c r="F60" s="19">
        <v>4.7923449186097669</v>
      </c>
      <c r="G60" s="19">
        <v>3.1804439112177563</v>
      </c>
      <c r="H60" s="19">
        <v>3.0825273338940287</v>
      </c>
      <c r="I60" s="19">
        <v>3.4850452368281002</v>
      </c>
      <c r="J60" s="19">
        <v>3.0528413736713</v>
      </c>
      <c r="K60" s="19">
        <v>3.1379007036747457</v>
      </c>
      <c r="L60" s="19">
        <v>3.0185649308456326</v>
      </c>
      <c r="M60" s="19">
        <v>3.2990718124084024</v>
      </c>
      <c r="N60" s="19">
        <v>2.8315700380871771</v>
      </c>
      <c r="O60" s="19">
        <v>3.1926775147928996</v>
      </c>
      <c r="P60" s="19">
        <v>3.2177556632185413</v>
      </c>
      <c r="Q60" s="34">
        <v>3.9138102688095575</v>
      </c>
      <c r="R60" s="19">
        <v>3.8005820574465394</v>
      </c>
      <c r="S60" s="19">
        <v>3.0775802125757425</v>
      </c>
      <c r="T60" s="54">
        <v>3.5817240692813059</v>
      </c>
      <c r="U60" s="19">
        <v>3.2835624176237999</v>
      </c>
      <c r="V60" s="55">
        <v>2.9380817482800485</v>
      </c>
      <c r="W60" s="94">
        <v>3.351818181818182</v>
      </c>
      <c r="X60" s="37">
        <v>3.2817504845455474</v>
      </c>
      <c r="Y60" s="19">
        <v>3.2345636025998141</v>
      </c>
      <c r="Z60" s="19">
        <v>3.1718200983836966</v>
      </c>
      <c r="AA60" s="19">
        <v>6.3856472166331324</v>
      </c>
      <c r="AB60" s="37">
        <v>2.7787711820355545</v>
      </c>
      <c r="AC60" s="19">
        <v>3.5731325998841923</v>
      </c>
      <c r="AD60" s="37">
        <v>3.3905967450271248</v>
      </c>
      <c r="AE60" s="19">
        <v>3.0328805620608899</v>
      </c>
      <c r="AF60" s="10">
        <v>2.8982875423409862</v>
      </c>
      <c r="AG60" s="19"/>
      <c r="AH60" s="33">
        <f>AH59/AH31</f>
        <v>3.1941511647394001</v>
      </c>
    </row>
    <row r="61" spans="1:34" x14ac:dyDescent="0.35">
      <c r="A61" s="101" t="s">
        <v>66</v>
      </c>
      <c r="B61" s="38" t="s">
        <v>62</v>
      </c>
      <c r="C61" s="12">
        <v>0</v>
      </c>
      <c r="D61" s="10">
        <v>0</v>
      </c>
      <c r="E61" s="12">
        <v>0</v>
      </c>
      <c r="F61" s="12">
        <v>0</v>
      </c>
      <c r="G61" s="12">
        <v>0</v>
      </c>
      <c r="H61" s="12">
        <v>0</v>
      </c>
      <c r="I61" s="12">
        <v>0</v>
      </c>
      <c r="J61" s="12">
        <v>0</v>
      </c>
      <c r="K61" s="28">
        <v>0</v>
      </c>
      <c r="L61" s="28">
        <v>0</v>
      </c>
      <c r="M61" s="28">
        <v>0</v>
      </c>
      <c r="N61" s="28">
        <v>0</v>
      </c>
      <c r="O61" s="28">
        <v>0</v>
      </c>
      <c r="P61" s="12">
        <v>0</v>
      </c>
      <c r="Q61" s="12">
        <v>0</v>
      </c>
      <c r="R61" s="12">
        <v>0</v>
      </c>
      <c r="S61" s="12">
        <v>0</v>
      </c>
      <c r="T61" s="12">
        <v>0</v>
      </c>
      <c r="U61" s="12">
        <v>0</v>
      </c>
      <c r="V61" s="56">
        <v>0</v>
      </c>
      <c r="W61" s="84">
        <v>0</v>
      </c>
      <c r="X61" s="85">
        <v>0</v>
      </c>
      <c r="Y61" s="12">
        <v>0</v>
      </c>
      <c r="Z61" s="12">
        <v>0</v>
      </c>
      <c r="AA61" s="12">
        <v>0</v>
      </c>
      <c r="AB61" s="85">
        <v>0</v>
      </c>
      <c r="AC61" s="12">
        <v>0</v>
      </c>
      <c r="AD61" s="99">
        <v>0</v>
      </c>
      <c r="AE61" s="12">
        <v>0</v>
      </c>
      <c r="AF61" s="10">
        <v>0</v>
      </c>
      <c r="AG61" s="12"/>
      <c r="AH61" s="39">
        <f>SUM(C61:AG61)</f>
        <v>0</v>
      </c>
    </row>
    <row r="62" spans="1:34" x14ac:dyDescent="0.35">
      <c r="A62" s="101"/>
      <c r="B62" s="38" t="s">
        <v>63</v>
      </c>
      <c r="C62" s="12">
        <v>0</v>
      </c>
      <c r="D62" s="10">
        <v>0</v>
      </c>
      <c r="E62" s="12">
        <v>0</v>
      </c>
      <c r="F62" s="12">
        <v>0</v>
      </c>
      <c r="G62" s="12">
        <v>0</v>
      </c>
      <c r="H62" s="12">
        <v>0</v>
      </c>
      <c r="I62" s="12">
        <v>0</v>
      </c>
      <c r="J62" s="12">
        <v>0</v>
      </c>
      <c r="K62" s="28">
        <v>0</v>
      </c>
      <c r="L62" s="28">
        <v>0</v>
      </c>
      <c r="M62" s="28">
        <v>0</v>
      </c>
      <c r="N62" s="28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12">
        <v>0</v>
      </c>
      <c r="U62" s="12">
        <v>0</v>
      </c>
      <c r="V62" s="10">
        <v>0</v>
      </c>
      <c r="W62" s="84">
        <v>0</v>
      </c>
      <c r="X62" s="58">
        <v>0</v>
      </c>
      <c r="Y62" s="12">
        <v>0</v>
      </c>
      <c r="Z62" s="12">
        <v>0</v>
      </c>
      <c r="AA62" s="12">
        <v>0</v>
      </c>
      <c r="AB62" s="85">
        <v>0</v>
      </c>
      <c r="AC62" s="12">
        <v>0</v>
      </c>
      <c r="AD62" s="99">
        <v>0</v>
      </c>
      <c r="AE62" s="12">
        <v>0</v>
      </c>
      <c r="AF62" s="10">
        <v>0</v>
      </c>
      <c r="AG62" s="12"/>
      <c r="AH62" s="39">
        <f>(0.84*AH6)-AH61</f>
        <v>271235.15999999997</v>
      </c>
    </row>
  </sheetData>
  <mergeCells count="6">
    <mergeCell ref="A61:A62"/>
    <mergeCell ref="AH2:AH3"/>
    <mergeCell ref="A6:A15"/>
    <mergeCell ref="A16:A21"/>
    <mergeCell ref="A22:A35"/>
    <mergeCell ref="A36:A60"/>
  </mergeCells>
  <conditionalFormatting sqref="C2:AG2">
    <cfRule type="expression" dxfId="0" priority="1">
      <formula>OR(+C$6="dim")</formula>
    </cfRule>
  </conditionalFormatting>
  <dataValidations count="1">
    <dataValidation type="list" showInputMessage="1" showErrorMessage="1" sqref="AF3 V3 Q3 T3">
      <formula1>"G10 MC,G10 MP,MC&amp;MP,TBT,BG10,BG11,BGAD,BG22, ,Arrêt,MC&amp;BG22:"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2026-07-09T10:33:13Z</dcterms:created>
  <dcterms:modified xsi:type="dcterms:W3CDTF">2026-07-09T10:37:52Z</dcterms:modified>
</cp:coreProperties>
</file>