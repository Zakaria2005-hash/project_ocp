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8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59" i="1" l="1"/>
  <c r="AH60" i="1" s="1"/>
  <c r="AH58" i="1"/>
  <c r="AH57" i="1"/>
  <c r="AH56" i="1"/>
  <c r="AH54" i="1"/>
  <c r="AH53" i="1"/>
  <c r="AH55" i="1" s="1"/>
  <c r="AH51" i="1"/>
  <c r="AH50" i="1"/>
  <c r="AH52" i="1" s="1"/>
  <c r="AH48" i="1"/>
  <c r="AH47" i="1"/>
  <c r="AH49" i="1" s="1"/>
  <c r="AH46" i="1"/>
  <c r="AH45" i="1"/>
  <c r="AH44" i="1"/>
  <c r="AH43" i="1"/>
  <c r="AH42" i="1"/>
  <c r="AH41" i="1"/>
  <c r="AH40" i="1"/>
  <c r="AH39" i="1"/>
  <c r="AH38" i="1"/>
  <c r="AH25" i="1" s="1"/>
  <c r="AH37" i="1"/>
  <c r="AH36" i="1"/>
  <c r="AH23" i="1" s="1"/>
  <c r="AH35" i="1"/>
  <c r="AH22" i="1" s="1"/>
  <c r="AH34" i="1"/>
  <c r="AH33" i="1"/>
  <c r="AH32" i="1"/>
  <c r="AH31" i="1"/>
  <c r="AH30" i="1"/>
  <c r="AH29" i="1"/>
  <c r="AH28" i="1"/>
  <c r="AH27" i="1"/>
  <c r="AH26" i="1"/>
  <c r="AH21" i="1"/>
  <c r="AH20" i="1"/>
  <c r="AH19" i="1"/>
  <c r="AH18" i="1"/>
  <c r="AH17" i="1"/>
  <c r="AH16" i="1"/>
  <c r="AH15" i="1"/>
  <c r="AH13" i="1"/>
  <c r="AH14" i="1" s="1"/>
  <c r="AH11" i="1"/>
  <c r="AH10" i="1"/>
  <c r="AH9" i="1"/>
  <c r="AH8" i="1"/>
  <c r="AH7" i="1"/>
  <c r="AH6" i="1"/>
  <c r="AH5" i="1"/>
  <c r="AH4" i="1"/>
  <c r="AH12" i="1" s="1"/>
  <c r="D2" i="1"/>
  <c r="E2" i="1" l="1"/>
  <c r="F2" i="1" l="1"/>
  <c r="G2" i="1" l="1"/>
  <c r="H2" i="1" l="1"/>
  <c r="I2" i="1" l="1"/>
  <c r="J2" i="1" l="1"/>
  <c r="K2" i="1" l="1"/>
  <c r="L2" i="1" l="1"/>
  <c r="M2" i="1" l="1"/>
  <c r="N2" i="1" l="1"/>
  <c r="O2" i="1" l="1"/>
  <c r="P2" i="1" l="1"/>
  <c r="Q2" i="1" l="1"/>
  <c r="R2" i="1" l="1"/>
  <c r="S2" i="1" l="1"/>
  <c r="T2" i="1" l="1"/>
  <c r="U2" i="1" l="1"/>
  <c r="V2" i="1" l="1"/>
  <c r="W2" i="1" l="1"/>
  <c r="X2" i="1" l="1"/>
  <c r="Y2" i="1" l="1"/>
  <c r="Z2" i="1" l="1"/>
  <c r="AA2" i="1" l="1"/>
  <c r="AB2" i="1" l="1"/>
  <c r="AC2" i="1" l="1"/>
  <c r="AD2" i="1" l="1"/>
  <c r="AE2" i="1" l="1"/>
  <c r="AF2" i="1" l="1"/>
  <c r="AG2" i="1" l="1"/>
</calcChain>
</file>

<file path=xl/sharedStrings.xml><?xml version="1.0" encoding="utf-8"?>
<sst xmlns="http://schemas.openxmlformats.org/spreadsheetml/2006/main" count="129" uniqueCount="79">
  <si>
    <t>TOTAL</t>
  </si>
  <si>
    <t>Qualité</t>
  </si>
  <si>
    <t>Qualité traitée</t>
  </si>
  <si>
    <t>MC/MP</t>
  </si>
  <si>
    <t>MC/MP/BG10</t>
  </si>
  <si>
    <t>BG10/MP</t>
  </si>
  <si>
    <t>MC/MP/BG22</t>
  </si>
  <si>
    <t>MC</t>
  </si>
  <si>
    <t>MC/BG10</t>
  </si>
  <si>
    <t>MC/BG22</t>
  </si>
  <si>
    <t>Produit G10</t>
  </si>
  <si>
    <t>Alimentation par camions (T)</t>
  </si>
  <si>
    <t>stock LF</t>
  </si>
  <si>
    <t>quantité d'eau drainage(m3)</t>
  </si>
  <si>
    <t>Roue pelle TAIM</t>
  </si>
  <si>
    <t>Tonnage G10 + BG10 (T)</t>
  </si>
  <si>
    <t>Tonnage G10 (T)</t>
  </si>
  <si>
    <t>Tonnage BG10 (T)</t>
  </si>
  <si>
    <t>Débit horaire (T/H)</t>
  </si>
  <si>
    <t>Alimentation par chargeuse</t>
  </si>
  <si>
    <t>G10 (T)</t>
  </si>
  <si>
    <t>% G10 Chargeuse</t>
  </si>
  <si>
    <t xml:space="preserve"> BT (T)</t>
  </si>
  <si>
    <t>% BT Chargeuse</t>
  </si>
  <si>
    <t>HM</t>
  </si>
  <si>
    <t>Liaison US-UC</t>
  </si>
  <si>
    <t>Tonnage transporté (T)</t>
  </si>
  <si>
    <t>Tonnage transporté G10 (T)</t>
  </si>
  <si>
    <t>Tonnage transporté MT (T)</t>
  </si>
  <si>
    <t>Débit (T/H)</t>
  </si>
  <si>
    <t>Stockage Local  (T)</t>
  </si>
  <si>
    <t>Production</t>
  </si>
  <si>
    <t>Débit horaire par four (T/H)</t>
  </si>
  <si>
    <t>Débit horaire par four  en MC(T/H)</t>
  </si>
  <si>
    <t>Débit horaire par four en MP (T/H)</t>
  </si>
  <si>
    <t>Débit horaire par four en BG10 (T/H)</t>
  </si>
  <si>
    <t>Tonnage dosage</t>
  </si>
  <si>
    <t>Humidité entrée %</t>
  </si>
  <si>
    <t>Humidité sortie MC %</t>
  </si>
  <si>
    <t>Humidité sortie MP %</t>
  </si>
  <si>
    <t>Humidité sortie BG10 %</t>
  </si>
  <si>
    <t>Production totale</t>
  </si>
  <si>
    <t>Production MC</t>
  </si>
  <si>
    <t>Production MP</t>
  </si>
  <si>
    <t>Production BG10</t>
  </si>
  <si>
    <t>Performance</t>
  </si>
  <si>
    <t>HM en MC</t>
  </si>
  <si>
    <t>HM en MP</t>
  </si>
  <si>
    <t>HM en BG10</t>
  </si>
  <si>
    <t>HM Four N°1</t>
  </si>
  <si>
    <t>HM Four N°2</t>
  </si>
  <si>
    <t>HM Four N°3</t>
  </si>
  <si>
    <t>HM Four N°4</t>
  </si>
  <si>
    <t>HM Four N°5</t>
  </si>
  <si>
    <t>HM Four N°6</t>
  </si>
  <si>
    <t>HM Four N°7</t>
  </si>
  <si>
    <t>HM Four N°8</t>
  </si>
  <si>
    <t>Consommation GAZ (Nm3)</t>
  </si>
  <si>
    <t>Tonnage traité gaz</t>
  </si>
  <si>
    <t>Cs Gas (Nm3/T)</t>
  </si>
  <si>
    <t>Consommation gazoline (kg)</t>
  </si>
  <si>
    <t>Tonnage traité gazoline</t>
  </si>
  <si>
    <t>Cs gazoline (kg/T)</t>
  </si>
  <si>
    <t>Consommation Fuel (kg)</t>
  </si>
  <si>
    <t>Tonnage traité fuel</t>
  </si>
  <si>
    <t>Cs Fuel (kg/T)</t>
  </si>
  <si>
    <t xml:space="preserve">Consommation d'énergie (kcal/T) </t>
  </si>
  <si>
    <t>Consommation Electricité (kwh)</t>
  </si>
  <si>
    <t>Cs électricité (Kwh/T)</t>
  </si>
  <si>
    <t>Production UL</t>
  </si>
  <si>
    <t>Ecart  reprise RP3 production UL</t>
  </si>
  <si>
    <t>mar.</t>
  </si>
  <si>
    <t>mer.</t>
  </si>
  <si>
    <t>jeu.</t>
  </si>
  <si>
    <t>ven.</t>
  </si>
  <si>
    <t>sam.</t>
  </si>
  <si>
    <t>dim.</t>
  </si>
  <si>
    <t>lun.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</si>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</sst>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5" formatCode="0.0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rgb="FF0070C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0" fillId="2" borderId="1" xfId="0" applyNumberFormat="1" applyFill="1" applyBorder="1" applyAlignment="1">
      <alignment horizontal="center"/>
    </xf>
    <xf numFmtId="1" fontId="4" fillId="3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Protection="1">
      <protection locked="0"/>
    </xf>
    <xf numFmtId="1" fontId="2" fillId="0" borderId="1" xfId="0" applyNumberFormat="1" applyFont="1" applyBorder="1" applyAlignment="1">
      <alignment horizontal="center"/>
    </xf>
    <xf numFmtId="1" fontId="0" fillId="4" borderId="1" xfId="0" applyNumberForma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" fontId="2" fillId="4" borderId="3" xfId="0" applyNumberFormat="1" applyFont="1" applyFill="1" applyBorder="1" applyAlignment="1" applyProtection="1">
      <alignment horizontal="center"/>
      <protection locked="0"/>
    </xf>
    <xf numFmtId="1" fontId="0" fillId="4" borderId="3" xfId="0" applyNumberFormat="1" applyFill="1" applyBorder="1" applyAlignment="1" applyProtection="1">
      <alignment horizontal="right"/>
      <protection locked="0"/>
    </xf>
    <xf numFmtId="1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center"/>
      <protection locked="0"/>
    </xf>
    <xf numFmtId="1" fontId="2" fillId="4" borderId="1" xfId="0" applyNumberFormat="1" applyFont="1" applyFill="1" applyBorder="1" applyAlignment="1" applyProtection="1">
      <alignment horizontal="center" vertical="center"/>
      <protection locked="0"/>
    </xf>
    <xf numFmtId="1" fontId="4" fillId="3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" fontId="0" fillId="4" borderId="1" xfId="0" applyNumberFormat="1" applyFill="1" applyBorder="1" applyProtection="1">
      <protection locked="0"/>
    </xf>
    <xf numFmtId="1" fontId="0" fillId="4" borderId="1" xfId="0" applyNumberFormat="1" applyFill="1" applyBorder="1" applyAlignment="1" applyProtection="1">
      <alignment horizontal="center" vertical="top"/>
      <protection locked="0"/>
    </xf>
    <xf numFmtId="1" fontId="0" fillId="4" borderId="1" xfId="0" applyNumberForma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/>
    <xf numFmtId="1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/>
    </xf>
    <xf numFmtId="9" fontId="0" fillId="4" borderId="1" xfId="0" applyNumberFormat="1" applyFill="1" applyBorder="1" applyAlignment="1" applyProtection="1">
      <alignment horizontal="center"/>
      <protection locked="0"/>
    </xf>
    <xf numFmtId="9" fontId="0" fillId="4" borderId="1" xfId="0" applyNumberFormat="1" applyFill="1" applyBorder="1" applyAlignment="1" applyProtection="1">
      <alignment horizontal="right"/>
      <protection locked="0"/>
    </xf>
    <xf numFmtId="9" fontId="2" fillId="4" borderId="1" xfId="0" applyNumberFormat="1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9" fontId="0" fillId="4" borderId="1" xfId="0" applyNumberFormat="1" applyFill="1" applyBorder="1" applyProtection="1"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/>
      <protection locked="0"/>
    </xf>
    <xf numFmtId="43" fontId="2" fillId="0" borderId="1" xfId="1" applyFont="1" applyBorder="1" applyAlignment="1">
      <alignment horizontal="center"/>
    </xf>
    <xf numFmtId="165" fontId="0" fillId="4" borderId="1" xfId="0" applyNumberFormat="1" applyFill="1" applyBorder="1" applyAlignment="1" applyProtection="1">
      <alignment horizontal="center"/>
      <protection locked="0"/>
    </xf>
    <xf numFmtId="2" fontId="0" fillId="4" borderId="1" xfId="0" applyNumberFormat="1" applyFill="1" applyBorder="1" applyProtection="1">
      <protection locked="0"/>
    </xf>
    <xf numFmtId="2" fontId="2" fillId="4" borderId="1" xfId="0" applyNumberFormat="1" applyFont="1" applyFill="1" applyBorder="1" applyAlignment="1" applyProtection="1">
      <alignment horizontal="center"/>
      <protection locked="0"/>
    </xf>
    <xf numFmtId="165" fontId="0" fillId="4" borderId="1" xfId="0" applyNumberFormat="1" applyFill="1" applyBorder="1" applyAlignment="1" applyProtection="1">
      <alignment horizontal="center" vertical="top"/>
      <protection locked="0"/>
    </xf>
    <xf numFmtId="165" fontId="0" fillId="4" borderId="1" xfId="0" applyNumberFormat="1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 vertical="center"/>
      <protection locked="0"/>
    </xf>
    <xf numFmtId="165" fontId="2" fillId="4" borderId="1" xfId="0" applyNumberFormat="1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43" fontId="0" fillId="4" borderId="1" xfId="1" applyFont="1" applyFill="1" applyBorder="1" applyAlignment="1" applyProtection="1">
      <alignment horizontal="right" indent="1"/>
      <protection locked="0"/>
    </xf>
    <xf numFmtId="2" fontId="0" fillId="4" borderId="1" xfId="0" applyNumberFormat="1" applyFill="1" applyBorder="1" applyAlignment="1" applyProtection="1">
      <alignment horizontal="center" vertical="top"/>
      <protection locked="0"/>
    </xf>
    <xf numFmtId="1" fontId="2" fillId="4" borderId="1" xfId="0" applyNumberFormat="1" applyFont="1" applyFill="1" applyBorder="1" applyAlignment="1">
      <alignment horizontal="center" vertical="top"/>
    </xf>
    <xf numFmtId="1" fontId="2" fillId="4" borderId="1" xfId="0" applyNumberFormat="1" applyFont="1" applyFill="1" applyBorder="1" applyAlignment="1">
      <alignment horizontal="center" vertical="center"/>
    </xf>
    <xf numFmtId="1" fontId="6" fillId="0" borderId="1" xfId="2" applyNumberFormat="1" applyFont="1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 applyProtection="1">
      <alignment horizontal="right"/>
      <protection locked="0"/>
    </xf>
    <xf numFmtId="1" fontId="7" fillId="4" borderId="3" xfId="0" applyNumberFormat="1" applyFont="1" applyFill="1" applyBorder="1" applyAlignment="1">
      <alignment horizontal="center"/>
    </xf>
    <xf numFmtId="0" fontId="0" fillId="2" borderId="8" xfId="0" applyFill="1" applyBorder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" fontId="0" fillId="4" borderId="3" xfId="0" applyNumberFormat="1" applyFill="1" applyBorder="1" applyAlignment="1" applyProtection="1">
      <alignment horizontal="center"/>
      <protection locked="0"/>
    </xf>
    <xf numFmtId="10" fontId="0" fillId="4" borderId="1" xfId="2" applyNumberFormat="1" applyFont="1" applyFill="1" applyBorder="1" applyAlignment="1" applyProtection="1">
      <alignment horizontal="center"/>
      <protection locked="0"/>
    </xf>
    <xf numFmtId="9" fontId="0" fillId="4" borderId="1" xfId="2" applyFont="1" applyFill="1" applyBorder="1" applyAlignment="1" applyProtection="1">
      <alignment horizontal="center"/>
      <protection locked="0"/>
    </xf>
    <xf numFmtId="10" fontId="1" fillId="4" borderId="1" xfId="2" applyNumberFormat="1" applyFont="1" applyFill="1" applyBorder="1" applyAlignment="1" applyProtection="1">
      <alignment horizontal="center"/>
      <protection locked="0"/>
    </xf>
    <xf numFmtId="10" fontId="1" fillId="4" borderId="1" xfId="2" applyNumberFormat="1" applyFont="1" applyFill="1" applyBorder="1" applyAlignment="1" applyProtection="1">
      <alignment horizontal="right"/>
      <protection locked="0"/>
    </xf>
    <xf numFmtId="10" fontId="2" fillId="4" borderId="1" xfId="2" applyNumberFormat="1" applyFont="1" applyFill="1" applyBorder="1" applyAlignment="1" applyProtection="1">
      <alignment horizontal="center"/>
      <protection locked="0"/>
    </xf>
    <xf numFmtId="10" fontId="0" fillId="4" borderId="1" xfId="2" applyNumberFormat="1" applyFont="1" applyFill="1" applyBorder="1" applyAlignment="1" applyProtection="1">
      <alignment horizontal="center" vertical="top"/>
      <protection locked="0"/>
    </xf>
    <xf numFmtId="10" fontId="0" fillId="4" borderId="1" xfId="2" applyNumberFormat="1" applyFont="1" applyFill="1" applyBorder="1" applyAlignment="1" applyProtection="1">
      <alignment horizontal="center" vertical="center"/>
      <protection locked="0"/>
    </xf>
    <xf numFmtId="166" fontId="0" fillId="4" borderId="1" xfId="2" applyNumberFormat="1" applyFon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right"/>
      <protection locked="0"/>
    </xf>
    <xf numFmtId="10" fontId="2" fillId="4" borderId="1" xfId="0" quotePrefix="1" applyNumberFormat="1" applyFont="1" applyFill="1" applyBorder="1" applyAlignment="1" applyProtection="1">
      <alignment horizontal="center"/>
      <protection locked="0"/>
    </xf>
    <xf numFmtId="10" fontId="0" fillId="4" borderId="1" xfId="0" applyNumberFormat="1" applyFill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0" fontId="0" fillId="0" borderId="1" xfId="0" applyNumberFormat="1" applyBorder="1" applyAlignment="1" applyProtection="1">
      <alignment horizontal="center"/>
      <protection locked="0"/>
    </xf>
    <xf numFmtId="10" fontId="0" fillId="0" borderId="1" xfId="2" applyNumberFormat="1" applyFont="1" applyBorder="1" applyAlignment="1" applyProtection="1">
      <alignment horizontal="center"/>
      <protection locked="0"/>
    </xf>
    <xf numFmtId="166" fontId="0" fillId="0" borderId="1" xfId="2" applyNumberFormat="1" applyFon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 vertical="top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/>
      <protection locked="0"/>
    </xf>
    <xf numFmtId="1" fontId="0" fillId="0" borderId="1" xfId="0" applyNumberFormat="1" applyBorder="1" applyProtection="1">
      <protection locked="0"/>
    </xf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 applyProtection="1">
      <alignment horizontal="center"/>
      <protection locked="0"/>
    </xf>
    <xf numFmtId="2" fontId="9" fillId="0" borderId="1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 vertical="top"/>
      <protection locked="0"/>
    </xf>
    <xf numFmtId="4" fontId="6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/>
    <xf numFmtId="2" fontId="2" fillId="4" borderId="1" xfId="0" applyNumberFormat="1" applyFont="1" applyFill="1" applyBorder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" fontId="10" fillId="4" borderId="1" xfId="0" applyNumberFormat="1" applyFont="1" applyFill="1" applyBorder="1" applyAlignment="1" applyProtection="1">
      <alignment horizontal="center"/>
      <protection locked="0"/>
    </xf>
    <xf numFmtId="1" fontId="2" fillId="4" borderId="3" xfId="0" applyNumberFormat="1" applyFont="1" applyFill="1" applyBorder="1" applyAlignment="1">
      <alignment horizontal="center"/>
    </xf>
    <xf numFmtId="1" fontId="10" fillId="4" borderId="1" xfId="0" applyNumberFormat="1" applyFont="1" applyFill="1" applyBorder="1" applyAlignment="1" applyProtection="1">
      <alignment horizontal="center" vertical="top"/>
      <protection locked="0"/>
    </xf>
    <xf numFmtId="1" fontId="10" fillId="4" borderId="1" xfId="0" applyNumberFormat="1" applyFont="1" applyFill="1" applyBorder="1" applyAlignment="1" applyProtection="1">
      <alignment horizontal="center" vertical="center"/>
      <protection locked="0"/>
    </xf>
    <xf numFmtId="2" fontId="9" fillId="4" borderId="1" xfId="0" applyNumberFormat="1" applyFont="1" applyFill="1" applyBorder="1" applyAlignment="1">
      <alignment vertical="center"/>
    </xf>
    <xf numFmtId="2" fontId="8" fillId="4" borderId="3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 applyProtection="1">
      <alignment horizontal="center" vertical="top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4" fontId="6" fillId="4" borderId="1" xfId="0" applyNumberFormat="1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0"/>
  <sheetViews>
    <sheetView tabSelected="1" zoomScale="76" workbookViewId="0">
      <selection activeCell="E9" sqref="E9"/>
    </sheetView>
  </sheetViews>
  <sheetFormatPr baseColWidth="10" defaultRowHeight="14.5" x14ac:dyDescent="0.35"/>
  <cols>
    <col min="1" max="1" width="14.7265625" customWidth="1"/>
    <col min="2" max="2" width="28" customWidth="1"/>
    <col min="3" max="34" width="12.6328125" customWidth="1"/>
  </cols>
  <sheetData>
    <row r="1" spans="1:34" x14ac:dyDescent="0.35">
      <c r="A1" s="1"/>
      <c r="B1" s="2"/>
      <c r="C1" s="3" t="s">
        <v>78</v>
      </c>
      <c r="D1" s="3" t="s">
        <v>77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71</v>
      </c>
      <c r="T1" s="3" t="s">
        <v>72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71</v>
      </c>
      <c r="AA1" s="3" t="s">
        <v>72</v>
      </c>
      <c r="AB1" s="3" t="s">
        <v>73</v>
      </c>
      <c r="AC1" s="3" t="s">
        <v>74</v>
      </c>
      <c r="AD1" s="3" t="s">
        <v>75</v>
      </c>
      <c r="AE1" s="3" t="s">
        <v>76</v>
      </c>
      <c r="AF1" s="3" t="s">
        <v>77</v>
      </c>
      <c r="AG1" s="3" t="s">
        <v>71</v>
      </c>
      <c r="AH1" s="1"/>
    </row>
    <row r="2" spans="1:34" x14ac:dyDescent="0.35">
      <c r="A2" s="1"/>
      <c r="B2" s="4"/>
      <c r="C2" s="5">
        <v>46082</v>
      </c>
      <c r="D2" s="5">
        <f>IF(C2+1&gt;EOMONTH(C2,0),"",C2+1)</f>
        <v>46083</v>
      </c>
      <c r="E2" s="5">
        <f t="shared" ref="E2:AG2" si="0">IF(D2+1&gt;EOMONTH(D2,0),"",D2+1)</f>
        <v>46084</v>
      </c>
      <c r="F2" s="5">
        <f t="shared" si="0"/>
        <v>46085</v>
      </c>
      <c r="G2" s="5">
        <f t="shared" si="0"/>
        <v>46086</v>
      </c>
      <c r="H2" s="5">
        <f t="shared" si="0"/>
        <v>46087</v>
      </c>
      <c r="I2" s="5">
        <f t="shared" si="0"/>
        <v>46088</v>
      </c>
      <c r="J2" s="5">
        <f t="shared" si="0"/>
        <v>46089</v>
      </c>
      <c r="K2" s="5">
        <f t="shared" si="0"/>
        <v>46090</v>
      </c>
      <c r="L2" s="5">
        <f t="shared" si="0"/>
        <v>46091</v>
      </c>
      <c r="M2" s="5">
        <f t="shared" si="0"/>
        <v>46092</v>
      </c>
      <c r="N2" s="5">
        <f t="shared" si="0"/>
        <v>46093</v>
      </c>
      <c r="O2" s="5">
        <f t="shared" si="0"/>
        <v>46094</v>
      </c>
      <c r="P2" s="5">
        <f t="shared" si="0"/>
        <v>46095</v>
      </c>
      <c r="Q2" s="5">
        <f t="shared" si="0"/>
        <v>46096</v>
      </c>
      <c r="R2" s="5">
        <f t="shared" si="0"/>
        <v>46097</v>
      </c>
      <c r="S2" s="5">
        <f t="shared" si="0"/>
        <v>46098</v>
      </c>
      <c r="T2" s="5">
        <f t="shared" si="0"/>
        <v>46099</v>
      </c>
      <c r="U2" s="5">
        <f t="shared" si="0"/>
        <v>46100</v>
      </c>
      <c r="V2" s="5">
        <f t="shared" si="0"/>
        <v>46101</v>
      </c>
      <c r="W2" s="5">
        <f t="shared" si="0"/>
        <v>46102</v>
      </c>
      <c r="X2" s="5">
        <f t="shared" si="0"/>
        <v>46103</v>
      </c>
      <c r="Y2" s="5">
        <f t="shared" si="0"/>
        <v>46104</v>
      </c>
      <c r="Z2" s="5">
        <f t="shared" si="0"/>
        <v>46105</v>
      </c>
      <c r="AA2" s="5">
        <f t="shared" si="0"/>
        <v>46106</v>
      </c>
      <c r="AB2" s="5">
        <f t="shared" si="0"/>
        <v>46107</v>
      </c>
      <c r="AC2" s="5">
        <f t="shared" si="0"/>
        <v>46108</v>
      </c>
      <c r="AD2" s="5">
        <f t="shared" si="0"/>
        <v>46109</v>
      </c>
      <c r="AE2" s="5">
        <f t="shared" si="0"/>
        <v>46110</v>
      </c>
      <c r="AF2" s="5">
        <f t="shared" si="0"/>
        <v>46111</v>
      </c>
      <c r="AG2" s="5">
        <f t="shared" si="0"/>
        <v>46112</v>
      </c>
      <c r="AH2" s="6" t="s">
        <v>0</v>
      </c>
    </row>
    <row r="3" spans="1:34" x14ac:dyDescent="0.35">
      <c r="A3" s="7" t="s">
        <v>1</v>
      </c>
      <c r="B3" s="8" t="s">
        <v>2</v>
      </c>
      <c r="C3" s="9" t="s">
        <v>3</v>
      </c>
      <c r="D3" s="10" t="s">
        <v>3</v>
      </c>
      <c r="E3" s="9" t="s">
        <v>4</v>
      </c>
      <c r="F3" s="9" t="s">
        <v>4</v>
      </c>
      <c r="G3" s="9" t="s">
        <v>3</v>
      </c>
      <c r="H3" s="11" t="s">
        <v>5</v>
      </c>
      <c r="I3" s="9" t="s">
        <v>3</v>
      </c>
      <c r="J3" s="9" t="s">
        <v>3</v>
      </c>
      <c r="K3" s="9" t="s">
        <v>3</v>
      </c>
      <c r="L3" s="9" t="s">
        <v>4</v>
      </c>
      <c r="M3" s="9" t="s">
        <v>3</v>
      </c>
      <c r="N3" s="9" t="s">
        <v>3</v>
      </c>
      <c r="O3" s="9" t="s">
        <v>6</v>
      </c>
      <c r="P3" s="9" t="s">
        <v>3</v>
      </c>
      <c r="Q3" s="12" t="s">
        <v>3</v>
      </c>
      <c r="R3" s="9" t="s">
        <v>3</v>
      </c>
      <c r="S3" s="9" t="s">
        <v>7</v>
      </c>
      <c r="T3" s="13" t="s">
        <v>7</v>
      </c>
      <c r="U3" s="9" t="s">
        <v>7</v>
      </c>
      <c r="V3" s="12" t="s">
        <v>7</v>
      </c>
      <c r="W3" s="14" t="s">
        <v>7</v>
      </c>
      <c r="X3" s="15" t="s">
        <v>7</v>
      </c>
      <c r="Y3" s="9" t="s">
        <v>8</v>
      </c>
      <c r="Z3" s="9" t="s">
        <v>8</v>
      </c>
      <c r="AA3" s="16" t="s">
        <v>7</v>
      </c>
      <c r="AB3" s="17" t="s">
        <v>9</v>
      </c>
      <c r="AC3" s="16" t="s">
        <v>3</v>
      </c>
      <c r="AD3" s="17" t="s">
        <v>7</v>
      </c>
      <c r="AE3" s="16" t="s">
        <v>3</v>
      </c>
      <c r="AF3" s="16" t="s">
        <v>8</v>
      </c>
      <c r="AG3" s="16" t="s">
        <v>8</v>
      </c>
      <c r="AH3" s="18"/>
    </row>
    <row r="4" spans="1:34" x14ac:dyDescent="0.35">
      <c r="A4" s="7" t="s">
        <v>10</v>
      </c>
      <c r="B4" s="8" t="s">
        <v>11</v>
      </c>
      <c r="C4" s="10">
        <v>0</v>
      </c>
      <c r="D4" s="19">
        <v>0</v>
      </c>
      <c r="E4" s="10">
        <v>5206</v>
      </c>
      <c r="F4" s="10">
        <v>5113</v>
      </c>
      <c r="G4" s="10">
        <v>2421</v>
      </c>
      <c r="H4" s="10">
        <v>0</v>
      </c>
      <c r="I4" s="10">
        <v>1967</v>
      </c>
      <c r="J4" s="10">
        <v>0</v>
      </c>
      <c r="K4" s="10">
        <v>1884</v>
      </c>
      <c r="L4" s="10">
        <v>2305</v>
      </c>
      <c r="M4" s="10">
        <v>0</v>
      </c>
      <c r="N4" s="10">
        <v>0</v>
      </c>
      <c r="O4" s="10">
        <v>4978</v>
      </c>
      <c r="P4" s="10">
        <v>0</v>
      </c>
      <c r="Q4" s="10">
        <v>0</v>
      </c>
      <c r="R4" s="10">
        <v>0</v>
      </c>
      <c r="S4" s="10">
        <v>0</v>
      </c>
      <c r="T4" s="20">
        <v>0</v>
      </c>
      <c r="U4" s="10">
        <v>0</v>
      </c>
      <c r="V4" s="16">
        <v>0</v>
      </c>
      <c r="W4" s="21">
        <v>0</v>
      </c>
      <c r="X4" s="22">
        <v>0</v>
      </c>
      <c r="Y4" s="10">
        <v>6101</v>
      </c>
      <c r="Z4" s="10">
        <v>4731</v>
      </c>
      <c r="AA4" s="10">
        <v>3713</v>
      </c>
      <c r="AB4" s="22">
        <v>5007</v>
      </c>
      <c r="AC4" s="10">
        <v>0</v>
      </c>
      <c r="AD4" s="22">
        <v>0</v>
      </c>
      <c r="AE4" s="10">
        <v>0</v>
      </c>
      <c r="AF4" s="16">
        <v>5878</v>
      </c>
      <c r="AG4" s="10">
        <v>4571</v>
      </c>
      <c r="AH4" s="23">
        <f>SUM(C4:AG4)</f>
        <v>53875</v>
      </c>
    </row>
    <row r="5" spans="1:34" x14ac:dyDescent="0.35">
      <c r="A5" s="7" t="s">
        <v>12</v>
      </c>
      <c r="B5" s="8" t="s">
        <v>13</v>
      </c>
      <c r="C5" s="10">
        <v>318</v>
      </c>
      <c r="D5" s="10">
        <v>320</v>
      </c>
      <c r="E5" s="10">
        <v>320</v>
      </c>
      <c r="F5" s="10">
        <v>1581</v>
      </c>
      <c r="G5" s="10">
        <v>1225</v>
      </c>
      <c r="H5" s="10">
        <v>1635</v>
      </c>
      <c r="I5" s="10">
        <v>1273</v>
      </c>
      <c r="J5" s="10">
        <v>1193</v>
      </c>
      <c r="K5" s="10">
        <v>605</v>
      </c>
      <c r="L5" s="10">
        <v>547</v>
      </c>
      <c r="M5" s="10">
        <v>1262</v>
      </c>
      <c r="N5" s="10">
        <v>1262</v>
      </c>
      <c r="O5" s="10">
        <v>1485</v>
      </c>
      <c r="P5" s="10">
        <v>1365</v>
      </c>
      <c r="Q5" s="10">
        <v>1819</v>
      </c>
      <c r="R5" s="10">
        <v>1363</v>
      </c>
      <c r="S5" s="10">
        <v>0</v>
      </c>
      <c r="T5" s="20">
        <v>448</v>
      </c>
      <c r="U5" s="10">
        <v>567</v>
      </c>
      <c r="V5" s="16">
        <v>0</v>
      </c>
      <c r="W5" s="21">
        <v>671</v>
      </c>
      <c r="X5" s="22">
        <v>1380</v>
      </c>
      <c r="Y5" s="10">
        <v>1213</v>
      </c>
      <c r="Z5" s="10">
        <v>500</v>
      </c>
      <c r="AA5" s="10">
        <v>443</v>
      </c>
      <c r="AB5" s="22">
        <v>1148</v>
      </c>
      <c r="AC5" s="10">
        <v>1789</v>
      </c>
      <c r="AD5" s="22">
        <v>1581</v>
      </c>
      <c r="AE5" s="10">
        <v>1694</v>
      </c>
      <c r="AF5" s="16">
        <v>1694</v>
      </c>
      <c r="AG5" s="10">
        <v>1694</v>
      </c>
      <c r="AH5" s="23">
        <f>SUM(C5:AG5)</f>
        <v>32395</v>
      </c>
    </row>
    <row r="6" spans="1:34" x14ac:dyDescent="0.35">
      <c r="A6" s="24" t="s">
        <v>14</v>
      </c>
      <c r="B6" s="8" t="s">
        <v>15</v>
      </c>
      <c r="C6" s="10">
        <v>12798</v>
      </c>
      <c r="D6" s="10">
        <v>11737</v>
      </c>
      <c r="E6" s="10">
        <v>7068</v>
      </c>
      <c r="F6" s="10">
        <v>5051</v>
      </c>
      <c r="G6" s="10">
        <v>7729</v>
      </c>
      <c r="H6" s="10">
        <v>5720</v>
      </c>
      <c r="I6" s="10">
        <v>7300</v>
      </c>
      <c r="J6" s="10">
        <v>10256</v>
      </c>
      <c r="K6" s="10">
        <v>4380</v>
      </c>
      <c r="L6" s="10">
        <v>6071</v>
      </c>
      <c r="M6" s="10">
        <v>4912</v>
      </c>
      <c r="N6" s="10">
        <v>9511</v>
      </c>
      <c r="O6" s="10">
        <v>6536</v>
      </c>
      <c r="P6" s="10">
        <v>10308</v>
      </c>
      <c r="Q6" s="10">
        <v>12690</v>
      </c>
      <c r="R6" s="10">
        <v>8850</v>
      </c>
      <c r="S6" s="10">
        <v>247</v>
      </c>
      <c r="T6" s="20">
        <v>9239</v>
      </c>
      <c r="U6" s="10">
        <v>8309</v>
      </c>
      <c r="V6" s="16">
        <v>5422</v>
      </c>
      <c r="W6" s="21">
        <v>8194</v>
      </c>
      <c r="X6" s="22">
        <v>12651</v>
      </c>
      <c r="Y6" s="10">
        <v>7746</v>
      </c>
      <c r="Z6" s="10">
        <v>6518</v>
      </c>
      <c r="AA6" s="10">
        <v>10609</v>
      </c>
      <c r="AB6" s="22">
        <v>7909</v>
      </c>
      <c r="AC6" s="10">
        <v>12423</v>
      </c>
      <c r="AD6" s="22">
        <v>11929</v>
      </c>
      <c r="AE6" s="10">
        <v>12349</v>
      </c>
      <c r="AF6" s="16">
        <v>7457</v>
      </c>
      <c r="AG6" s="10">
        <v>10283</v>
      </c>
      <c r="AH6" s="23">
        <f>SUM(C6:AG6)</f>
        <v>262202</v>
      </c>
    </row>
    <row r="7" spans="1:34" x14ac:dyDescent="0.35">
      <c r="A7" s="25"/>
      <c r="B7" s="8" t="s">
        <v>16</v>
      </c>
      <c r="C7" s="10">
        <v>12798</v>
      </c>
      <c r="D7" s="10">
        <v>11737</v>
      </c>
      <c r="E7" s="10">
        <v>7068</v>
      </c>
      <c r="F7" s="10">
        <v>5051</v>
      </c>
      <c r="G7" s="10">
        <v>7729</v>
      </c>
      <c r="H7" s="10">
        <v>5720</v>
      </c>
      <c r="I7" s="10">
        <v>7300</v>
      </c>
      <c r="J7" s="10">
        <v>10256</v>
      </c>
      <c r="K7" s="10">
        <v>4380</v>
      </c>
      <c r="L7" s="10">
        <v>6071</v>
      </c>
      <c r="M7" s="10">
        <v>4912</v>
      </c>
      <c r="N7" s="10">
        <v>9511</v>
      </c>
      <c r="O7" s="10">
        <v>6536</v>
      </c>
      <c r="P7" s="10">
        <v>10308</v>
      </c>
      <c r="Q7" s="10">
        <v>12960</v>
      </c>
      <c r="R7" s="10">
        <v>8850</v>
      </c>
      <c r="S7" s="10">
        <v>247</v>
      </c>
      <c r="T7" s="20">
        <v>9239</v>
      </c>
      <c r="U7" s="10">
        <v>8309</v>
      </c>
      <c r="V7" s="16">
        <v>5422</v>
      </c>
      <c r="W7" s="21">
        <v>8194</v>
      </c>
      <c r="X7" s="22">
        <v>12651</v>
      </c>
      <c r="Y7" s="10">
        <v>7746</v>
      </c>
      <c r="Z7" s="10">
        <v>6518</v>
      </c>
      <c r="AA7" s="10">
        <v>10609</v>
      </c>
      <c r="AB7" s="22">
        <v>7909</v>
      </c>
      <c r="AC7" s="10">
        <v>12423</v>
      </c>
      <c r="AD7" s="22">
        <v>11929</v>
      </c>
      <c r="AE7" s="10">
        <v>12349</v>
      </c>
      <c r="AF7" s="16">
        <v>7457</v>
      </c>
      <c r="AG7" s="10">
        <v>10283</v>
      </c>
      <c r="AH7" s="23">
        <f>SUM(C7:AG7)</f>
        <v>262472</v>
      </c>
    </row>
    <row r="8" spans="1:34" x14ac:dyDescent="0.35">
      <c r="A8" s="25"/>
      <c r="B8" s="8" t="s">
        <v>17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9">
        <v>2909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20">
        <v>0</v>
      </c>
      <c r="U8" s="10">
        <v>0</v>
      </c>
      <c r="V8" s="16">
        <v>0</v>
      </c>
      <c r="W8" s="21">
        <v>0</v>
      </c>
      <c r="X8" s="22">
        <v>0</v>
      </c>
      <c r="Y8" s="10">
        <v>6101</v>
      </c>
      <c r="Z8" s="10">
        <v>4731</v>
      </c>
      <c r="AA8" s="10">
        <v>0</v>
      </c>
      <c r="AB8" s="22">
        <v>0</v>
      </c>
      <c r="AC8" s="10">
        <v>0</v>
      </c>
      <c r="AD8" s="22">
        <v>0</v>
      </c>
      <c r="AE8" s="10">
        <v>0</v>
      </c>
      <c r="AF8" s="16">
        <v>0</v>
      </c>
      <c r="AG8" s="10">
        <v>0</v>
      </c>
      <c r="AH8" s="23">
        <f>SUM(C8:AG8)</f>
        <v>13741</v>
      </c>
    </row>
    <row r="9" spans="1:34" x14ac:dyDescent="0.35">
      <c r="A9" s="25"/>
      <c r="B9" s="8" t="s">
        <v>18</v>
      </c>
      <c r="C9" s="10">
        <v>664.83116883116884</v>
      </c>
      <c r="D9" s="10">
        <v>1067</v>
      </c>
      <c r="E9" s="26">
        <v>439.55223880597021</v>
      </c>
      <c r="F9" s="10">
        <v>442.29422066549915</v>
      </c>
      <c r="G9" s="10">
        <v>527.21691678035472</v>
      </c>
      <c r="H9" s="10">
        <v>426.22950819672133</v>
      </c>
      <c r="I9" s="10">
        <v>463.49206349206349</v>
      </c>
      <c r="J9" s="10">
        <v>569.77777777777783</v>
      </c>
      <c r="K9" s="10">
        <v>434.95531281032771</v>
      </c>
      <c r="L9" s="10">
        <v>414.12005457025919</v>
      </c>
      <c r="M9" s="10">
        <v>685.0767085076709</v>
      </c>
      <c r="N9" s="10">
        <v>567.82089552238801</v>
      </c>
      <c r="O9" s="10">
        <v>564.42141623488772</v>
      </c>
      <c r="P9" s="10">
        <v>595.83815028901734</v>
      </c>
      <c r="Q9" s="26">
        <v>685.94594594594594</v>
      </c>
      <c r="R9" s="10">
        <v>594.75806451612902</v>
      </c>
      <c r="S9" s="10">
        <v>494</v>
      </c>
      <c r="T9" s="27">
        <v>543.47058823529414</v>
      </c>
      <c r="U9" s="10">
        <v>546.64473684210532</v>
      </c>
      <c r="V9" s="28">
        <v>478.55251544571934</v>
      </c>
      <c r="W9" s="21">
        <v>546.26666666666665</v>
      </c>
      <c r="X9" s="22">
        <v>663.05031446540886</v>
      </c>
      <c r="Y9" s="10">
        <v>667.75862068965523</v>
      </c>
      <c r="Z9" s="10">
        <v>611.4446529080675</v>
      </c>
      <c r="AA9" s="10">
        <v>677.45849297573432</v>
      </c>
      <c r="AB9" s="22">
        <v>620.31372549019613</v>
      </c>
      <c r="AC9" s="10">
        <v>642.67977237454738</v>
      </c>
      <c r="AD9" s="22">
        <v>639.28188638799566</v>
      </c>
      <c r="AE9" s="10">
        <v>588.04761904761904</v>
      </c>
      <c r="AF9" s="16">
        <v>389.19624217118997</v>
      </c>
      <c r="AG9" s="10">
        <v>523.04170905391663</v>
      </c>
      <c r="AH9" s="23">
        <f>AH6/AH15</f>
        <v>573.64575129080231</v>
      </c>
    </row>
    <row r="10" spans="1:34" x14ac:dyDescent="0.35">
      <c r="A10" s="25"/>
      <c r="B10" s="8" t="s">
        <v>19</v>
      </c>
      <c r="C10" s="10">
        <v>1179</v>
      </c>
      <c r="D10" s="19">
        <v>3417</v>
      </c>
      <c r="E10" s="29">
        <v>1085</v>
      </c>
      <c r="F10" s="10">
        <v>770</v>
      </c>
      <c r="G10" s="10">
        <v>265</v>
      </c>
      <c r="H10" s="29">
        <v>166</v>
      </c>
      <c r="I10" s="10">
        <v>695</v>
      </c>
      <c r="J10" s="10">
        <v>2243</v>
      </c>
      <c r="K10" s="10">
        <v>1344</v>
      </c>
      <c r="L10" s="10">
        <v>1578</v>
      </c>
      <c r="M10" s="10">
        <v>1122</v>
      </c>
      <c r="N10" s="10">
        <v>2640</v>
      </c>
      <c r="O10" s="10">
        <v>1869</v>
      </c>
      <c r="P10" s="10">
        <v>4379</v>
      </c>
      <c r="Q10" s="29">
        <v>150</v>
      </c>
      <c r="R10" s="10">
        <v>3254</v>
      </c>
      <c r="S10" s="10">
        <v>6156</v>
      </c>
      <c r="T10" s="30">
        <v>4204</v>
      </c>
      <c r="U10" s="10">
        <v>2656</v>
      </c>
      <c r="V10" s="31">
        <v>0</v>
      </c>
      <c r="W10" s="21">
        <v>0</v>
      </c>
      <c r="X10" s="22">
        <v>0</v>
      </c>
      <c r="Y10" s="10">
        <v>0</v>
      </c>
      <c r="Z10" s="10">
        <v>0</v>
      </c>
      <c r="AA10" s="10">
        <v>0</v>
      </c>
      <c r="AB10" s="22">
        <v>0</v>
      </c>
      <c r="AC10" s="10">
        <v>0</v>
      </c>
      <c r="AD10" s="22">
        <v>0</v>
      </c>
      <c r="AE10" s="10">
        <v>2187</v>
      </c>
      <c r="AF10" s="16">
        <v>0</v>
      </c>
      <c r="AG10" s="10">
        <v>179</v>
      </c>
      <c r="AH10" s="23">
        <f>SUM(C10:AG10)</f>
        <v>41538</v>
      </c>
    </row>
    <row r="11" spans="1:34" x14ac:dyDescent="0.35">
      <c r="A11" s="25"/>
      <c r="B11" s="8" t="s">
        <v>20</v>
      </c>
      <c r="C11" s="10">
        <v>1179</v>
      </c>
      <c r="D11" s="9">
        <v>3417</v>
      </c>
      <c r="E11" s="29">
        <v>1085</v>
      </c>
      <c r="F11" s="10">
        <v>770</v>
      </c>
      <c r="G11" s="10">
        <v>265</v>
      </c>
      <c r="H11" s="29">
        <v>166</v>
      </c>
      <c r="I11" s="10">
        <v>695</v>
      </c>
      <c r="J11" s="10">
        <v>2243</v>
      </c>
      <c r="K11" s="10">
        <v>1344</v>
      </c>
      <c r="L11" s="10">
        <v>1578</v>
      </c>
      <c r="M11" s="10">
        <v>1122</v>
      </c>
      <c r="N11" s="10">
        <v>2640</v>
      </c>
      <c r="O11" s="10">
        <v>1869</v>
      </c>
      <c r="P11" s="10">
        <v>4379</v>
      </c>
      <c r="Q11" s="29">
        <v>150</v>
      </c>
      <c r="R11" s="10">
        <v>3254</v>
      </c>
      <c r="S11" s="10">
        <v>6156</v>
      </c>
      <c r="T11" s="30">
        <v>4204</v>
      </c>
      <c r="U11" s="10">
        <v>2656</v>
      </c>
      <c r="V11" s="31">
        <v>0</v>
      </c>
      <c r="W11" s="21">
        <v>0</v>
      </c>
      <c r="X11" s="22">
        <v>0</v>
      </c>
      <c r="Y11" s="10">
        <v>0</v>
      </c>
      <c r="Z11" s="10">
        <v>0</v>
      </c>
      <c r="AA11" s="10">
        <v>0</v>
      </c>
      <c r="AB11" s="22">
        <v>0</v>
      </c>
      <c r="AC11" s="10">
        <v>0</v>
      </c>
      <c r="AD11" s="22">
        <v>0</v>
      </c>
      <c r="AE11" s="10">
        <v>2187</v>
      </c>
      <c r="AF11" s="16">
        <v>0</v>
      </c>
      <c r="AG11" s="10">
        <v>179</v>
      </c>
      <c r="AH11" s="23">
        <f>SUM(C11:AG11)</f>
        <v>41538</v>
      </c>
    </row>
    <row r="12" spans="1:34" x14ac:dyDescent="0.35">
      <c r="A12" s="25"/>
      <c r="B12" s="8" t="s">
        <v>21</v>
      </c>
      <c r="C12" s="32">
        <v>0.12694678217821784</v>
      </c>
      <c r="D12" s="32">
        <v>0.32127850426888577</v>
      </c>
      <c r="E12" s="32">
        <v>0.66462295081967215</v>
      </c>
      <c r="F12" s="32">
        <v>0.7853628970385147</v>
      </c>
      <c r="G12" s="32">
        <v>0.40633281168492441</v>
      </c>
      <c r="H12" s="32">
        <v>2.7666666666666666E-2</v>
      </c>
      <c r="I12" s="32">
        <v>0.34612763413540576</v>
      </c>
      <c r="J12" s="32">
        <v>0.26841953232462173</v>
      </c>
      <c r="K12" s="32">
        <v>0.47688232297503824</v>
      </c>
      <c r="L12" s="32">
        <v>0.61725013703636034</v>
      </c>
      <c r="M12" s="32">
        <v>0.36600674915635545</v>
      </c>
      <c r="N12" s="32">
        <v>0.35966176010021927</v>
      </c>
      <c r="O12" s="32">
        <v>0.7421991029155246</v>
      </c>
      <c r="P12" s="32">
        <v>0.46854384454556636</v>
      </c>
      <c r="Q12" s="33">
        <v>1.6294169059807715E-2</v>
      </c>
      <c r="R12" s="32">
        <v>0.4096931982633864</v>
      </c>
      <c r="S12" s="32">
        <v>1.3778543864162593</v>
      </c>
      <c r="T12" s="34">
        <v>0.48766399999999999</v>
      </c>
      <c r="U12" s="32">
        <v>0.34207549962990375</v>
      </c>
      <c r="V12" s="35">
        <v>0</v>
      </c>
      <c r="W12" s="36">
        <v>0</v>
      </c>
      <c r="X12" s="37">
        <v>0</v>
      </c>
      <c r="Y12" s="32">
        <v>0.62247801102380673</v>
      </c>
      <c r="Z12" s="32">
        <v>0.55374276873402395</v>
      </c>
      <c r="AA12" s="32">
        <v>0.38534057020159845</v>
      </c>
      <c r="AB12" s="37">
        <v>0.50098792409430704</v>
      </c>
      <c r="AC12" s="32">
        <v>0</v>
      </c>
      <c r="AD12" s="37">
        <v>0</v>
      </c>
      <c r="AE12" s="32">
        <v>0.23659413081323055</v>
      </c>
      <c r="AF12" s="16">
        <v>0.60241017787725293</v>
      </c>
      <c r="AG12" s="32">
        <v>0.48589065255731922</v>
      </c>
      <c r="AH12" s="38">
        <f>(AH4+AH11)*0.87/AH31</f>
        <v>0.37849181090298928</v>
      </c>
    </row>
    <row r="13" spans="1:34" x14ac:dyDescent="0.35">
      <c r="A13" s="25"/>
      <c r="B13" s="8" t="s">
        <v>22</v>
      </c>
      <c r="C13" s="10">
        <v>0</v>
      </c>
      <c r="D13" s="10">
        <v>0</v>
      </c>
      <c r="E13" s="29">
        <v>0</v>
      </c>
      <c r="F13" s="10">
        <v>0</v>
      </c>
      <c r="G13" s="10">
        <v>0</v>
      </c>
      <c r="H13" s="29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29">
        <v>0</v>
      </c>
      <c r="R13" s="10">
        <v>0</v>
      </c>
      <c r="S13" s="10">
        <v>0</v>
      </c>
      <c r="T13" s="30">
        <v>0</v>
      </c>
      <c r="U13" s="10">
        <v>0</v>
      </c>
      <c r="V13" s="31">
        <v>0</v>
      </c>
      <c r="W13" s="21">
        <v>0</v>
      </c>
      <c r="X13" s="22">
        <v>0</v>
      </c>
      <c r="Y13" s="10">
        <v>0</v>
      </c>
      <c r="Z13" s="10">
        <v>0</v>
      </c>
      <c r="AA13" s="10">
        <v>0</v>
      </c>
      <c r="AB13" s="22">
        <v>0</v>
      </c>
      <c r="AC13" s="10">
        <v>0</v>
      </c>
      <c r="AD13" s="22">
        <v>0</v>
      </c>
      <c r="AE13" s="10">
        <v>0</v>
      </c>
      <c r="AF13" s="16">
        <v>0</v>
      </c>
      <c r="AG13" s="10">
        <v>0</v>
      </c>
      <c r="AH13" s="23">
        <f>SUM(C13:AG13)</f>
        <v>0</v>
      </c>
    </row>
    <row r="14" spans="1:34" x14ac:dyDescent="0.35">
      <c r="A14" s="25"/>
      <c r="B14" s="8" t="s">
        <v>23</v>
      </c>
      <c r="C14" s="32">
        <v>0</v>
      </c>
      <c r="D14" s="32">
        <v>0</v>
      </c>
      <c r="E14" s="33">
        <v>0</v>
      </c>
      <c r="F14" s="32">
        <v>0</v>
      </c>
      <c r="G14" s="32">
        <v>0</v>
      </c>
      <c r="H14" s="32">
        <v>0</v>
      </c>
      <c r="I14" s="9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2">
        <v>0</v>
      </c>
      <c r="S14" s="32">
        <v>0</v>
      </c>
      <c r="T14" s="39">
        <v>0</v>
      </c>
      <c r="U14" s="32">
        <v>0</v>
      </c>
      <c r="V14" s="35">
        <v>0</v>
      </c>
      <c r="W14" s="36">
        <v>0</v>
      </c>
      <c r="X14" s="37">
        <v>0</v>
      </c>
      <c r="Y14" s="32">
        <v>0</v>
      </c>
      <c r="Z14" s="32">
        <v>0</v>
      </c>
      <c r="AA14" s="32">
        <v>0</v>
      </c>
      <c r="AB14" s="37">
        <v>0</v>
      </c>
      <c r="AC14" s="32">
        <v>0</v>
      </c>
      <c r="AD14" s="37">
        <v>0</v>
      </c>
      <c r="AE14" s="32">
        <v>0</v>
      </c>
      <c r="AF14" s="16">
        <v>0</v>
      </c>
      <c r="AG14" s="32">
        <v>0</v>
      </c>
      <c r="AH14" s="38">
        <f>+AH13*0.62/AH33</f>
        <v>0</v>
      </c>
    </row>
    <row r="15" spans="1:34" x14ac:dyDescent="0.35">
      <c r="A15" s="40"/>
      <c r="B15" s="8" t="s">
        <v>24</v>
      </c>
      <c r="C15" s="41">
        <v>19.25</v>
      </c>
      <c r="D15" s="41">
        <v>11</v>
      </c>
      <c r="E15" s="41">
        <v>16.079999999999998</v>
      </c>
      <c r="F15" s="41">
        <v>11.42</v>
      </c>
      <c r="G15" s="41">
        <v>14.66</v>
      </c>
      <c r="H15" s="41">
        <v>13.42</v>
      </c>
      <c r="I15" s="42">
        <v>15.75</v>
      </c>
      <c r="J15" s="43">
        <v>18</v>
      </c>
      <c r="K15" s="43">
        <v>10.07</v>
      </c>
      <c r="L15" s="43">
        <v>14.66</v>
      </c>
      <c r="M15" s="43">
        <v>7.17</v>
      </c>
      <c r="N15" s="43">
        <v>16.75</v>
      </c>
      <c r="O15" s="43">
        <v>11.58</v>
      </c>
      <c r="P15" s="43">
        <v>17.3</v>
      </c>
      <c r="Q15" s="41">
        <v>18.5</v>
      </c>
      <c r="R15" s="43">
        <v>14.88</v>
      </c>
      <c r="S15" s="43">
        <v>0.5</v>
      </c>
      <c r="T15" s="44">
        <v>17</v>
      </c>
      <c r="U15" s="43">
        <v>15.2</v>
      </c>
      <c r="V15" s="45">
        <v>11.33</v>
      </c>
      <c r="W15" s="46">
        <v>15</v>
      </c>
      <c r="X15" s="47">
        <v>19.079999999999998</v>
      </c>
      <c r="Y15" s="43">
        <v>11.6</v>
      </c>
      <c r="Z15" s="43">
        <v>10.66</v>
      </c>
      <c r="AA15" s="41">
        <v>15.66</v>
      </c>
      <c r="AB15" s="47">
        <v>12.75</v>
      </c>
      <c r="AC15" s="41">
        <v>19.329999999999998</v>
      </c>
      <c r="AD15" s="48">
        <v>18.66</v>
      </c>
      <c r="AE15" s="41">
        <v>21</v>
      </c>
      <c r="AF15" s="49">
        <v>19.16</v>
      </c>
      <c r="AG15" s="10">
        <v>19.66</v>
      </c>
      <c r="AH15" s="23">
        <f>SUM(C15:AG15)</f>
        <v>457.0800000000001</v>
      </c>
    </row>
    <row r="16" spans="1:34" x14ac:dyDescent="0.35">
      <c r="A16" s="50" t="s">
        <v>25</v>
      </c>
      <c r="B16" s="8" t="s">
        <v>26</v>
      </c>
      <c r="C16" s="10">
        <v>3464</v>
      </c>
      <c r="D16" s="10">
        <v>2806</v>
      </c>
      <c r="E16" s="10">
        <v>2370</v>
      </c>
      <c r="F16" s="10">
        <v>1995</v>
      </c>
      <c r="G16" s="10">
        <v>2918</v>
      </c>
      <c r="H16" s="10">
        <v>2900</v>
      </c>
      <c r="I16" s="10">
        <v>2701</v>
      </c>
      <c r="J16" s="10">
        <v>3687</v>
      </c>
      <c r="K16" s="10">
        <v>3687</v>
      </c>
      <c r="L16" s="10">
        <v>2543</v>
      </c>
      <c r="M16" s="10">
        <v>2208</v>
      </c>
      <c r="N16" s="10">
        <v>2212</v>
      </c>
      <c r="O16" s="10">
        <v>2574</v>
      </c>
      <c r="P16" s="10">
        <v>4446</v>
      </c>
      <c r="Q16" s="10">
        <v>4271</v>
      </c>
      <c r="R16" s="10">
        <v>3620</v>
      </c>
      <c r="S16" s="10">
        <v>0</v>
      </c>
      <c r="T16" s="20">
        <v>3774</v>
      </c>
      <c r="U16" s="10">
        <v>1770</v>
      </c>
      <c r="V16" s="16">
        <v>0</v>
      </c>
      <c r="W16" s="21">
        <v>166</v>
      </c>
      <c r="X16" s="22">
        <v>4684</v>
      </c>
      <c r="Y16" s="10">
        <v>2696</v>
      </c>
      <c r="Z16" s="10">
        <v>1829</v>
      </c>
      <c r="AA16" s="10">
        <v>3434</v>
      </c>
      <c r="AB16" s="22">
        <v>2603</v>
      </c>
      <c r="AC16" s="10">
        <v>4079</v>
      </c>
      <c r="AD16" s="22">
        <v>4174</v>
      </c>
      <c r="AE16" s="10">
        <v>5047</v>
      </c>
      <c r="AF16" s="16">
        <v>2627</v>
      </c>
      <c r="AG16" s="10">
        <v>4993</v>
      </c>
      <c r="AH16" s="23">
        <f>SUM(C16:AG16)</f>
        <v>90278</v>
      </c>
    </row>
    <row r="17" spans="1:34" x14ac:dyDescent="0.35">
      <c r="A17" s="50"/>
      <c r="B17" s="8" t="s">
        <v>27</v>
      </c>
      <c r="C17" s="10">
        <v>3464</v>
      </c>
      <c r="D17" s="10">
        <v>2806</v>
      </c>
      <c r="E17" s="10">
        <v>2370</v>
      </c>
      <c r="F17" s="10">
        <v>1995</v>
      </c>
      <c r="G17" s="10">
        <v>2918</v>
      </c>
      <c r="H17" s="10">
        <v>2900</v>
      </c>
      <c r="I17" s="10">
        <v>2701</v>
      </c>
      <c r="J17" s="10">
        <v>3687</v>
      </c>
      <c r="K17" s="10">
        <v>3687</v>
      </c>
      <c r="L17" s="10">
        <v>2543</v>
      </c>
      <c r="M17" s="10">
        <v>2208</v>
      </c>
      <c r="N17" s="10">
        <v>2212</v>
      </c>
      <c r="O17" s="10">
        <v>2574</v>
      </c>
      <c r="P17" s="10">
        <v>4446</v>
      </c>
      <c r="Q17" s="10">
        <v>4271</v>
      </c>
      <c r="R17" s="10">
        <v>3620</v>
      </c>
      <c r="S17" s="10">
        <v>0</v>
      </c>
      <c r="T17" s="20">
        <v>3774</v>
      </c>
      <c r="U17" s="10">
        <v>1770</v>
      </c>
      <c r="V17" s="16">
        <v>0</v>
      </c>
      <c r="W17" s="21">
        <v>166</v>
      </c>
      <c r="X17" s="22">
        <v>4684</v>
      </c>
      <c r="Y17" s="10">
        <v>2696</v>
      </c>
      <c r="Z17" s="10">
        <v>1829</v>
      </c>
      <c r="AA17" s="10">
        <v>3434</v>
      </c>
      <c r="AB17" s="22">
        <v>2603</v>
      </c>
      <c r="AC17" s="10">
        <v>4079</v>
      </c>
      <c r="AD17" s="22">
        <v>4174</v>
      </c>
      <c r="AE17" s="10">
        <v>5047</v>
      </c>
      <c r="AF17" s="16">
        <v>2627</v>
      </c>
      <c r="AG17" s="10">
        <v>4993</v>
      </c>
      <c r="AH17" s="23">
        <f>SUM(C17:AG17)</f>
        <v>90278</v>
      </c>
    </row>
    <row r="18" spans="1:34" x14ac:dyDescent="0.35">
      <c r="A18" s="50"/>
      <c r="B18" s="8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20">
        <v>0</v>
      </c>
      <c r="U18" s="10">
        <v>0</v>
      </c>
      <c r="V18" s="16">
        <v>0</v>
      </c>
      <c r="W18" s="21">
        <v>0</v>
      </c>
      <c r="X18" s="22">
        <v>0</v>
      </c>
      <c r="Y18" s="10">
        <v>0</v>
      </c>
      <c r="Z18" s="10">
        <v>0</v>
      </c>
      <c r="AA18" s="10">
        <v>0</v>
      </c>
      <c r="AB18" s="22">
        <v>0</v>
      </c>
      <c r="AC18" s="10">
        <v>0</v>
      </c>
      <c r="AD18" s="22">
        <v>0</v>
      </c>
      <c r="AE18" s="10">
        <v>0</v>
      </c>
      <c r="AF18" s="16">
        <v>0</v>
      </c>
      <c r="AG18" s="10">
        <v>0</v>
      </c>
      <c r="AH18" s="23">
        <f>SUM(C18:AG18)</f>
        <v>0</v>
      </c>
    </row>
    <row r="19" spans="1:34" x14ac:dyDescent="0.35">
      <c r="A19" s="50"/>
      <c r="B19" s="8" t="s">
        <v>24</v>
      </c>
      <c r="C19" s="41">
        <v>20.5</v>
      </c>
      <c r="D19" s="41">
        <v>12.33</v>
      </c>
      <c r="E19" s="41">
        <v>15.83</v>
      </c>
      <c r="F19" s="51">
        <v>12.25</v>
      </c>
      <c r="G19" s="41">
        <v>13.66</v>
      </c>
      <c r="H19" s="41">
        <v>14.5</v>
      </c>
      <c r="I19" s="41">
        <v>14.58</v>
      </c>
      <c r="J19" s="41">
        <v>17.5</v>
      </c>
      <c r="K19" s="41">
        <v>2.58</v>
      </c>
      <c r="L19" s="41">
        <v>19.829999999999998</v>
      </c>
      <c r="M19" s="41">
        <v>12</v>
      </c>
      <c r="N19" s="41">
        <v>21.5</v>
      </c>
      <c r="O19" s="41">
        <v>16.75</v>
      </c>
      <c r="P19" s="41">
        <v>19.25</v>
      </c>
      <c r="Q19" s="41">
        <v>21.42</v>
      </c>
      <c r="R19" s="41">
        <v>15.75</v>
      </c>
      <c r="S19" s="41">
        <v>0</v>
      </c>
      <c r="T19" s="44">
        <v>21.88</v>
      </c>
      <c r="U19" s="41">
        <v>10.75</v>
      </c>
      <c r="V19" s="45">
        <v>0</v>
      </c>
      <c r="W19" s="52">
        <v>2</v>
      </c>
      <c r="X19" s="48">
        <v>20.25</v>
      </c>
      <c r="Y19" s="41">
        <v>12.25</v>
      </c>
      <c r="Z19" s="41">
        <v>12.41</v>
      </c>
      <c r="AA19" s="41">
        <v>19.25</v>
      </c>
      <c r="AB19" s="48">
        <v>13.25</v>
      </c>
      <c r="AC19" s="41">
        <v>18.329999999999998</v>
      </c>
      <c r="AD19" s="48">
        <v>15.5</v>
      </c>
      <c r="AE19" s="41">
        <v>23.92</v>
      </c>
      <c r="AF19" s="16">
        <v>23.92</v>
      </c>
      <c r="AG19" s="41">
        <v>21.5</v>
      </c>
      <c r="AH19" s="23">
        <f>AH16/AH20</f>
        <v>423.04816671301393</v>
      </c>
    </row>
    <row r="20" spans="1:34" x14ac:dyDescent="0.35">
      <c r="A20" s="50"/>
      <c r="B20" s="8" t="s">
        <v>29</v>
      </c>
      <c r="C20" s="10">
        <v>168.97560975609755</v>
      </c>
      <c r="D20" s="10">
        <v>227.57502027575021</v>
      </c>
      <c r="E20" s="26">
        <v>149.71572962728996</v>
      </c>
      <c r="F20" s="10">
        <v>162.85714285714286</v>
      </c>
      <c r="G20" s="10">
        <v>213.61639824304538</v>
      </c>
      <c r="H20" s="10">
        <v>200</v>
      </c>
      <c r="I20" s="10">
        <v>185.25377229080934</v>
      </c>
      <c r="J20" s="10">
        <v>210.68571428571428</v>
      </c>
      <c r="K20" s="10">
        <v>1429.0697674418604</v>
      </c>
      <c r="L20" s="10">
        <v>128.2400403429148</v>
      </c>
      <c r="M20" s="10">
        <v>184</v>
      </c>
      <c r="N20" s="10">
        <v>102.88372093023256</v>
      </c>
      <c r="O20" s="10">
        <v>153.67164179104478</v>
      </c>
      <c r="P20" s="10">
        <v>230.96103896103895</v>
      </c>
      <c r="Q20" s="26">
        <v>199.39309056956114</v>
      </c>
      <c r="R20" s="26">
        <v>229.84126984126985</v>
      </c>
      <c r="S20" s="10">
        <v>0</v>
      </c>
      <c r="T20" s="27">
        <v>172.48628884826326</v>
      </c>
      <c r="U20" s="28">
        <v>164.65116279069767</v>
      </c>
      <c r="V20" s="28">
        <v>0</v>
      </c>
      <c r="W20" s="53">
        <v>83</v>
      </c>
      <c r="X20" s="54">
        <v>231.30864197530863</v>
      </c>
      <c r="Y20" s="28">
        <v>220.08163265306123</v>
      </c>
      <c r="Z20" s="28">
        <v>147.38114423851732</v>
      </c>
      <c r="AA20" s="28">
        <v>178.3896103896104</v>
      </c>
      <c r="AB20" s="54">
        <v>196.45283018867926</v>
      </c>
      <c r="AC20" s="28">
        <v>222.53136933988</v>
      </c>
      <c r="AD20" s="54">
        <v>269.29032258064518</v>
      </c>
      <c r="AE20" s="28">
        <v>210.99498327759196</v>
      </c>
      <c r="AF20" s="16">
        <v>109.82441471571906</v>
      </c>
      <c r="AG20" s="10">
        <v>232.23255813953489</v>
      </c>
      <c r="AH20" s="55">
        <f>AVERAGE(C20:AG20)</f>
        <v>213.39886826939616</v>
      </c>
    </row>
    <row r="21" spans="1:34" x14ac:dyDescent="0.35">
      <c r="A21" s="56"/>
      <c r="B21" s="8" t="s">
        <v>30</v>
      </c>
      <c r="C21" s="10">
        <v>1457</v>
      </c>
      <c r="D21" s="10">
        <v>1091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20">
        <v>0</v>
      </c>
      <c r="U21" s="28">
        <v>0</v>
      </c>
      <c r="V21" s="28">
        <v>0</v>
      </c>
      <c r="W21" s="53">
        <v>0</v>
      </c>
      <c r="X21" s="54">
        <v>0</v>
      </c>
      <c r="Y21" s="28">
        <v>0</v>
      </c>
      <c r="Z21" s="28">
        <v>0</v>
      </c>
      <c r="AA21" s="28">
        <v>0</v>
      </c>
      <c r="AB21" s="54">
        <v>0</v>
      </c>
      <c r="AC21" s="28">
        <v>0</v>
      </c>
      <c r="AD21" s="54">
        <v>0</v>
      </c>
      <c r="AE21" s="28">
        <v>0</v>
      </c>
      <c r="AF21" s="16">
        <v>0</v>
      </c>
      <c r="AG21" s="10">
        <v>0</v>
      </c>
      <c r="AH21" s="55">
        <f>SUM(C21:AG21)</f>
        <v>2548</v>
      </c>
    </row>
    <row r="22" spans="1:34" ht="18.5" x14ac:dyDescent="0.45">
      <c r="A22" s="57" t="s">
        <v>31</v>
      </c>
      <c r="B22" s="8" t="s">
        <v>32</v>
      </c>
      <c r="C22" s="10">
        <v>51.139240506329102</v>
      </c>
      <c r="D22" s="10">
        <v>51.215867158671578</v>
      </c>
      <c r="E22" s="26">
        <v>53.70652173913043</v>
      </c>
      <c r="F22" s="10">
        <v>56.505780346820806</v>
      </c>
      <c r="G22" s="10">
        <v>51.655688622754489</v>
      </c>
      <c r="H22" s="10">
        <v>52.905405405405403</v>
      </c>
      <c r="I22" s="10">
        <v>48.720873786407765</v>
      </c>
      <c r="J22" s="10">
        <v>49.568181818181813</v>
      </c>
      <c r="K22" s="10">
        <v>48.270491803278681</v>
      </c>
      <c r="L22" s="10">
        <v>50.990683229813662</v>
      </c>
      <c r="M22" s="10">
        <v>47.625000000000007</v>
      </c>
      <c r="N22" s="10">
        <v>46.5</v>
      </c>
      <c r="O22" s="10">
        <v>51.669527896995696</v>
      </c>
      <c r="P22" s="10">
        <v>45.509328358208961</v>
      </c>
      <c r="Q22" s="26">
        <v>44.659851301115239</v>
      </c>
      <c r="R22" s="10">
        <v>41.626506024096379</v>
      </c>
      <c r="S22" s="10">
        <v>47.790983606557369</v>
      </c>
      <c r="T22" s="58">
        <v>42.613636363636367</v>
      </c>
      <c r="U22" s="10">
        <v>41.697530864197525</v>
      </c>
      <c r="V22" s="59">
        <v>39.604838709677416</v>
      </c>
      <c r="W22" s="21">
        <v>40.383333333333333</v>
      </c>
      <c r="X22" s="22">
        <v>39.571698113207546</v>
      </c>
      <c r="Y22" s="10">
        <v>47.372222222222213</v>
      </c>
      <c r="Z22" s="10">
        <v>44.24404761904762</v>
      </c>
      <c r="AA22" s="10">
        <v>46.919776119402989</v>
      </c>
      <c r="AB22" s="22">
        <v>49.591254752851711</v>
      </c>
      <c r="AC22" s="10">
        <v>45.173507462686572</v>
      </c>
      <c r="AD22" s="22">
        <v>40.384615384615387</v>
      </c>
      <c r="AE22" s="10">
        <v>45.011194029850742</v>
      </c>
      <c r="AF22" s="16">
        <v>47.69101123595506</v>
      </c>
      <c r="AG22" s="10">
        <v>49.256756756756758</v>
      </c>
      <c r="AH22" s="23">
        <f>AH31/AH35/8</f>
        <v>46.709356808178327</v>
      </c>
    </row>
    <row r="23" spans="1:34" x14ac:dyDescent="0.35">
      <c r="A23" s="60"/>
      <c r="B23" s="8" t="s">
        <v>33</v>
      </c>
      <c r="C23" s="10">
        <v>45.528455284552841</v>
      </c>
      <c r="D23" s="10">
        <v>49.255691768826622</v>
      </c>
      <c r="E23" s="26">
        <v>48.628048780487809</v>
      </c>
      <c r="F23" s="10">
        <v>51.845637583892618</v>
      </c>
      <c r="G23" s="10">
        <v>49.0625</v>
      </c>
      <c r="H23" s="10" t="e">
        <v>#DIV/0!</v>
      </c>
      <c r="I23" s="10">
        <v>45.272314674735249</v>
      </c>
      <c r="J23" s="10">
        <v>40.769230769230766</v>
      </c>
      <c r="K23" s="10">
        <v>48.775510204081634</v>
      </c>
      <c r="L23" s="10">
        <v>45.185512367491164</v>
      </c>
      <c r="M23" s="10">
        <v>45</v>
      </c>
      <c r="N23" s="10">
        <v>43.591979075850034</v>
      </c>
      <c r="O23" s="10">
        <v>46.153846153846153</v>
      </c>
      <c r="P23" s="10">
        <v>43.448275862068968</v>
      </c>
      <c r="Q23" s="10">
        <v>42.514970059880241</v>
      </c>
      <c r="R23" s="10">
        <v>41.626506024096386</v>
      </c>
      <c r="S23" s="10">
        <v>47.775319567354963</v>
      </c>
      <c r="T23" s="58">
        <v>42.613636363636367</v>
      </c>
      <c r="U23" s="10">
        <v>41.697530864197532</v>
      </c>
      <c r="V23" s="10">
        <v>39.604838709677416</v>
      </c>
      <c r="W23" s="10">
        <v>40.383333333333333</v>
      </c>
      <c r="X23" s="10">
        <v>39.577672101449281</v>
      </c>
      <c r="Y23" s="10">
        <v>40.842198581560282</v>
      </c>
      <c r="Z23" s="10">
        <v>38.508928571428569</v>
      </c>
      <c r="AA23" s="10">
        <v>46.926780116435289</v>
      </c>
      <c r="AB23" s="22">
        <v>43.733891752577321</v>
      </c>
      <c r="AC23" s="10">
        <v>42.131891137473829</v>
      </c>
      <c r="AD23" s="22">
        <v>40.384615384615387</v>
      </c>
      <c r="AE23" s="10">
        <v>42.935029532030889</v>
      </c>
      <c r="AF23" s="16">
        <v>42.254901960784316</v>
      </c>
      <c r="AG23" s="10">
        <v>45.221843003412971</v>
      </c>
      <c r="AH23" s="23">
        <f t="shared" ref="AH23" si="1">AH32/AH36/8</f>
        <v>43.390306308054235</v>
      </c>
    </row>
    <row r="24" spans="1:34" x14ac:dyDescent="0.35">
      <c r="A24" s="60"/>
      <c r="B24" s="8" t="s">
        <v>34</v>
      </c>
      <c r="C24" s="10">
        <v>53.676470588235297</v>
      </c>
      <c r="D24" s="61">
        <v>57.408256880733944</v>
      </c>
      <c r="E24" s="26">
        <v>53.928571428571431</v>
      </c>
      <c r="F24" s="10">
        <v>56.547619047619051</v>
      </c>
      <c r="G24" s="10">
        <v>55.130912162162161</v>
      </c>
      <c r="H24" s="10">
        <v>51.603982300884951</v>
      </c>
      <c r="I24" s="10">
        <v>54.898373983739837</v>
      </c>
      <c r="J24" s="10">
        <v>54.41673710904481</v>
      </c>
      <c r="K24" s="10">
        <v>46.208333333333307</v>
      </c>
      <c r="L24" s="10">
        <v>51.809210526315795</v>
      </c>
      <c r="M24" s="10">
        <v>49.59375</v>
      </c>
      <c r="N24" s="10">
        <v>52.324561403508767</v>
      </c>
      <c r="O24" s="10">
        <v>51.984126984126988</v>
      </c>
      <c r="P24" s="10">
        <v>49.324468085106389</v>
      </c>
      <c r="Q24" s="10">
        <v>50.925655976676367</v>
      </c>
      <c r="R24" s="10">
        <v>0</v>
      </c>
      <c r="S24" s="10">
        <v>0</v>
      </c>
      <c r="T24" s="58">
        <v>0</v>
      </c>
      <c r="U24" s="10">
        <v>0</v>
      </c>
      <c r="V24" s="62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22">
        <v>0</v>
      </c>
      <c r="AC24" s="10">
        <v>50.640625</v>
      </c>
      <c r="AD24" s="22" t="e">
        <v>#DIV/0!</v>
      </c>
      <c r="AE24" s="10">
        <v>48.988250652741513</v>
      </c>
      <c r="AF24" s="16" t="e">
        <v>#DIV/0!</v>
      </c>
      <c r="AG24" s="10" t="e">
        <v>#DIV/0!</v>
      </c>
      <c r="AH24" s="23"/>
    </row>
    <row r="25" spans="1:34" ht="18.5" x14ac:dyDescent="0.45">
      <c r="A25" s="60"/>
      <c r="B25" s="8" t="s">
        <v>35</v>
      </c>
      <c r="C25" s="10" t="e">
        <v>#DIV/0!</v>
      </c>
      <c r="D25" s="19" t="e">
        <v>#DIV/0!</v>
      </c>
      <c r="E25" s="26">
        <v>59.179687499999986</v>
      </c>
      <c r="F25" s="10">
        <v>61.806262729124228</v>
      </c>
      <c r="G25" s="10">
        <v>0</v>
      </c>
      <c r="H25" s="10">
        <v>54.947916666666671</v>
      </c>
      <c r="I25" s="10" t="e">
        <v>#DIV/0!</v>
      </c>
      <c r="J25" s="10" t="e">
        <v>#DIV/0!</v>
      </c>
      <c r="K25" s="10" t="e">
        <v>#DIV/0!</v>
      </c>
      <c r="L25" s="10">
        <v>54.347826086956516</v>
      </c>
      <c r="M25" s="10" t="e">
        <v>#DIV/0!</v>
      </c>
      <c r="N25" s="10" t="e">
        <v>#DIV/0!</v>
      </c>
      <c r="O25" s="10">
        <v>55.837155963302713</v>
      </c>
      <c r="P25" s="10">
        <v>0</v>
      </c>
      <c r="Q25" s="26">
        <v>0</v>
      </c>
      <c r="R25" s="10">
        <v>0</v>
      </c>
      <c r="S25" s="10">
        <v>0</v>
      </c>
      <c r="T25" s="58">
        <v>0</v>
      </c>
      <c r="U25" s="10">
        <v>0</v>
      </c>
      <c r="V25" s="59">
        <v>0</v>
      </c>
      <c r="W25" s="21">
        <v>0</v>
      </c>
      <c r="X25" s="22">
        <v>0</v>
      </c>
      <c r="Y25" s="10">
        <v>58.333333333333329</v>
      </c>
      <c r="Z25" s="10">
        <v>55.714285714285715</v>
      </c>
      <c r="AA25" s="10">
        <v>0</v>
      </c>
      <c r="AB25" s="22">
        <v>64.0625</v>
      </c>
      <c r="AC25" s="10" t="e">
        <v>#DIV/0!</v>
      </c>
      <c r="AD25" s="22" t="e">
        <v>#DIV/0!</v>
      </c>
      <c r="AE25" s="10" t="e">
        <v>#DIV/0!</v>
      </c>
      <c r="AF25" s="16">
        <v>54.986842105263158</v>
      </c>
      <c r="AG25" s="10">
        <v>53.625</v>
      </c>
      <c r="AH25" s="23">
        <f>AH33/AH38/8</f>
        <v>88.213921468638446</v>
      </c>
    </row>
    <row r="26" spans="1:34" x14ac:dyDescent="0.35">
      <c r="A26" s="60"/>
      <c r="B26" s="8" t="s">
        <v>36</v>
      </c>
      <c r="C26" s="10">
        <v>897</v>
      </c>
      <c r="D26" s="10">
        <v>683</v>
      </c>
      <c r="E26" s="10">
        <v>477</v>
      </c>
      <c r="F26" s="10">
        <v>199</v>
      </c>
      <c r="G26" s="10">
        <v>439</v>
      </c>
      <c r="H26" s="10">
        <v>519</v>
      </c>
      <c r="I26" s="10">
        <v>482</v>
      </c>
      <c r="J26" s="10">
        <v>929</v>
      </c>
      <c r="K26" s="10">
        <v>147</v>
      </c>
      <c r="L26" s="10">
        <v>520</v>
      </c>
      <c r="M26" s="10">
        <v>256</v>
      </c>
      <c r="N26" s="10">
        <v>348</v>
      </c>
      <c r="O26" s="10">
        <v>360</v>
      </c>
      <c r="P26" s="10">
        <v>426</v>
      </c>
      <c r="Q26" s="10">
        <v>558</v>
      </c>
      <c r="R26" s="10">
        <v>61</v>
      </c>
      <c r="S26" s="10">
        <v>41</v>
      </c>
      <c r="T26" s="20">
        <v>0</v>
      </c>
      <c r="U26" s="10">
        <v>86</v>
      </c>
      <c r="V26" s="16">
        <v>0</v>
      </c>
      <c r="W26" s="21">
        <v>158</v>
      </c>
      <c r="X26" s="22">
        <v>0</v>
      </c>
      <c r="Y26" s="10">
        <v>0</v>
      </c>
      <c r="Z26" s="10">
        <v>0</v>
      </c>
      <c r="AA26" s="10">
        <v>308</v>
      </c>
      <c r="AB26" s="22">
        <v>184</v>
      </c>
      <c r="AC26" s="10">
        <v>683</v>
      </c>
      <c r="AD26" s="22">
        <v>260</v>
      </c>
      <c r="AE26" s="10">
        <v>695</v>
      </c>
      <c r="AF26" s="16">
        <v>219</v>
      </c>
      <c r="AG26" s="10">
        <v>245</v>
      </c>
      <c r="AH26" s="23">
        <f>SUM(C26:AG26)</f>
        <v>10180</v>
      </c>
    </row>
    <row r="27" spans="1:34" x14ac:dyDescent="0.35">
      <c r="A27" s="60"/>
      <c r="B27" s="8" t="s">
        <v>37</v>
      </c>
      <c r="C27" s="63">
        <v>0.1615</v>
      </c>
      <c r="D27" s="64">
        <v>0.15890000000000001</v>
      </c>
      <c r="E27" s="63">
        <v>0.15740000000000001</v>
      </c>
      <c r="F27" s="63">
        <v>0.14710000000000001</v>
      </c>
      <c r="G27" s="63">
        <v>0.161</v>
      </c>
      <c r="H27" s="63">
        <v>0.158</v>
      </c>
      <c r="I27" s="63">
        <v>0.15920000000000001</v>
      </c>
      <c r="J27" s="63">
        <v>0.16420000000000001</v>
      </c>
      <c r="K27" s="63">
        <v>0.1646</v>
      </c>
      <c r="L27" s="63">
        <v>0.15720000000000001</v>
      </c>
      <c r="M27" s="63">
        <v>0.1615</v>
      </c>
      <c r="N27" s="63">
        <v>0.16550000000000001</v>
      </c>
      <c r="O27" s="63">
        <v>0.15540000000000001</v>
      </c>
      <c r="P27" s="63">
        <v>0.16639999999999999</v>
      </c>
      <c r="Q27" s="65">
        <v>0.16300000000000001</v>
      </c>
      <c r="R27" s="63">
        <v>0.16539999999999999</v>
      </c>
      <c r="S27" s="63">
        <v>0.16209999999999999</v>
      </c>
      <c r="T27" s="66">
        <v>0.16800000000000001</v>
      </c>
      <c r="U27" s="63">
        <v>0.17150000000000001</v>
      </c>
      <c r="V27" s="67">
        <v>0.17879999999999999</v>
      </c>
      <c r="W27" s="68">
        <v>0.1779</v>
      </c>
      <c r="X27" s="69">
        <v>0.17829999999999999</v>
      </c>
      <c r="Y27" s="63">
        <v>0.1686</v>
      </c>
      <c r="Z27" s="63">
        <v>0.1676</v>
      </c>
      <c r="AA27" s="63">
        <v>0.1648</v>
      </c>
      <c r="AB27" s="69">
        <v>0.15920000000000001</v>
      </c>
      <c r="AC27" s="63">
        <v>0.17180000000000001</v>
      </c>
      <c r="AD27" s="69">
        <v>0.17419999999999999</v>
      </c>
      <c r="AE27" s="63">
        <v>0.17879999999999999</v>
      </c>
      <c r="AF27" s="16">
        <v>0.16450000000000001</v>
      </c>
      <c r="AG27" s="63">
        <v>0.16539999999999999</v>
      </c>
      <c r="AH27" s="38">
        <f>+AVERAGEIF(C27:AG27,"&gt;0")</f>
        <v>0.16509032258064518</v>
      </c>
    </row>
    <row r="28" spans="1:34" x14ac:dyDescent="0.35">
      <c r="A28" s="60"/>
      <c r="B28" s="8" t="s">
        <v>38</v>
      </c>
      <c r="C28" s="63">
        <v>3.4599999999999999E-2</v>
      </c>
      <c r="D28" s="70">
        <v>3.49E-2</v>
      </c>
      <c r="E28" s="71">
        <v>3.4500000000000003E-2</v>
      </c>
      <c r="F28" s="63">
        <v>3.5900000000000001E-2</v>
      </c>
      <c r="G28" s="63">
        <v>3.5299999999999998E-2</v>
      </c>
      <c r="H28" s="63">
        <v>0</v>
      </c>
      <c r="I28" s="63">
        <v>3.4700000000000002E-2</v>
      </c>
      <c r="J28" s="63">
        <v>3.5000000000000003E-2</v>
      </c>
      <c r="K28" s="63">
        <v>3.5900000000000001E-2</v>
      </c>
      <c r="L28" s="63">
        <v>3.5400000000000001E-2</v>
      </c>
      <c r="M28" s="63">
        <v>3.3599999999999998E-2</v>
      </c>
      <c r="N28" s="63">
        <v>3.5099999999999999E-2</v>
      </c>
      <c r="O28" s="63">
        <v>3.5700000000000003E-2</v>
      </c>
      <c r="P28" s="63">
        <v>3.5299999999999998E-2</v>
      </c>
      <c r="Q28" s="71">
        <v>3.5700000000000003E-2</v>
      </c>
      <c r="R28" s="63">
        <v>3.5200000000000002E-2</v>
      </c>
      <c r="S28" s="63">
        <v>3.49E-2</v>
      </c>
      <c r="T28" s="72">
        <v>3.4700000000000002E-2</v>
      </c>
      <c r="U28" s="63">
        <v>3.5299999999999998E-2</v>
      </c>
      <c r="V28" s="73">
        <v>3.5799999999999998E-2</v>
      </c>
      <c r="W28" s="68">
        <v>3.5499999999999997E-2</v>
      </c>
      <c r="X28" s="69">
        <v>3.6200000000000003E-2</v>
      </c>
      <c r="Y28" s="63">
        <v>3.7100000000000001E-2</v>
      </c>
      <c r="Z28" s="63">
        <v>3.5999999999999997E-2</v>
      </c>
      <c r="AA28" s="63">
        <v>3.61E-2</v>
      </c>
      <c r="AB28" s="69">
        <v>3.5400000000000001E-2</v>
      </c>
      <c r="AC28" s="63">
        <v>3.61E-2</v>
      </c>
      <c r="AD28" s="69">
        <v>3.5299999999999998E-2</v>
      </c>
      <c r="AE28" s="63">
        <v>3.5200000000000002E-2</v>
      </c>
      <c r="AF28" s="67">
        <v>3.5400000000000001E-2</v>
      </c>
      <c r="AG28" s="63">
        <v>3.56E-2</v>
      </c>
      <c r="AH28" s="38">
        <f t="shared" ref="AH28:AH30" si="2">+AVERAGEIF(C28:AG28,"&gt;0")</f>
        <v>3.5380000000000002E-2</v>
      </c>
    </row>
    <row r="29" spans="1:34" x14ac:dyDescent="0.35">
      <c r="A29" s="60"/>
      <c r="B29" s="8" t="s">
        <v>39</v>
      </c>
      <c r="C29" s="63">
        <v>5.4800000000000001E-2</v>
      </c>
      <c r="D29" s="63">
        <v>5.3100000000000001E-2</v>
      </c>
      <c r="E29" s="74">
        <v>5.3100000000000001E-2</v>
      </c>
      <c r="F29" s="63">
        <v>5.3100000000000001E-2</v>
      </c>
      <c r="G29" s="63">
        <v>5.3100000000000001E-2</v>
      </c>
      <c r="H29" s="63">
        <v>5.3100000000000001E-2</v>
      </c>
      <c r="I29" s="63">
        <v>5.3100000000000001E-2</v>
      </c>
      <c r="J29" s="63">
        <v>5.5E-2</v>
      </c>
      <c r="K29" s="63">
        <v>5.5100000000000003E-2</v>
      </c>
      <c r="L29" s="63">
        <v>5.4800000000000001E-2</v>
      </c>
      <c r="M29" s="63">
        <v>5.3699999999999998E-2</v>
      </c>
      <c r="N29" s="63">
        <v>5.5899999999999998E-2</v>
      </c>
      <c r="O29" s="63">
        <v>5.5E-2</v>
      </c>
      <c r="P29" s="63">
        <v>5.5599999999999997E-2</v>
      </c>
      <c r="Q29" s="71">
        <v>5.5399999999999998E-2</v>
      </c>
      <c r="R29" s="63">
        <v>0</v>
      </c>
      <c r="S29" s="63">
        <v>0</v>
      </c>
      <c r="T29" s="72">
        <v>0</v>
      </c>
      <c r="U29" s="63">
        <v>0</v>
      </c>
      <c r="V29" s="73">
        <v>0</v>
      </c>
      <c r="W29" s="68">
        <v>0</v>
      </c>
      <c r="X29" s="69">
        <v>0</v>
      </c>
      <c r="Y29" s="63">
        <v>0</v>
      </c>
      <c r="Z29" s="63">
        <v>0</v>
      </c>
      <c r="AA29" s="63">
        <v>0</v>
      </c>
      <c r="AB29" s="69">
        <v>0</v>
      </c>
      <c r="AC29" s="63">
        <v>5.4699999999999999E-2</v>
      </c>
      <c r="AD29" s="69">
        <v>0</v>
      </c>
      <c r="AE29" s="63">
        <v>5.3400000000000003E-2</v>
      </c>
      <c r="AF29" s="67">
        <v>0</v>
      </c>
      <c r="AG29" s="63">
        <v>0</v>
      </c>
      <c r="AH29" s="38">
        <f t="shared" si="2"/>
        <v>5.4235294117647048E-2</v>
      </c>
    </row>
    <row r="30" spans="1:34" x14ac:dyDescent="0.35">
      <c r="A30" s="60"/>
      <c r="B30" s="8" t="s">
        <v>40</v>
      </c>
      <c r="C30" s="75">
        <v>0</v>
      </c>
      <c r="D30" s="75">
        <v>0</v>
      </c>
      <c r="E30" s="71">
        <v>3.4500000000000003E-2</v>
      </c>
      <c r="F30" s="75">
        <v>3.5900000000000001E-2</v>
      </c>
      <c r="G30" s="63">
        <v>0</v>
      </c>
      <c r="H30" s="76">
        <v>3.5299999999999998E-2</v>
      </c>
      <c r="I30" s="76">
        <v>0</v>
      </c>
      <c r="J30" s="75">
        <v>0</v>
      </c>
      <c r="K30" s="75">
        <v>0</v>
      </c>
      <c r="L30" s="77">
        <v>3.5400000000000001E-2</v>
      </c>
      <c r="M30" s="78">
        <v>0</v>
      </c>
      <c r="N30" s="75">
        <v>0</v>
      </c>
      <c r="O30" s="77">
        <v>3.5700000000000003E-2</v>
      </c>
      <c r="P30" s="75">
        <v>0</v>
      </c>
      <c r="Q30" s="71">
        <v>0</v>
      </c>
      <c r="R30" s="75">
        <v>0</v>
      </c>
      <c r="S30" s="75">
        <v>0</v>
      </c>
      <c r="T30" s="72">
        <v>0</v>
      </c>
      <c r="U30" s="75">
        <v>0</v>
      </c>
      <c r="V30" s="73">
        <v>0</v>
      </c>
      <c r="W30" s="79">
        <v>0</v>
      </c>
      <c r="X30" s="80">
        <v>0</v>
      </c>
      <c r="Y30" s="75">
        <v>3.7100000000000001E-2</v>
      </c>
      <c r="Z30" s="75">
        <v>3.5999999999999997E-2</v>
      </c>
      <c r="AA30" s="75">
        <v>0</v>
      </c>
      <c r="AB30" s="80">
        <v>0</v>
      </c>
      <c r="AC30" s="75">
        <v>0</v>
      </c>
      <c r="AD30" s="80">
        <v>0</v>
      </c>
      <c r="AE30" s="75">
        <v>0</v>
      </c>
      <c r="AF30" s="16">
        <v>3.5400000000000001E-2</v>
      </c>
      <c r="AG30" s="75">
        <v>3.56E-2</v>
      </c>
      <c r="AH30" s="38">
        <f t="shared" si="2"/>
        <v>3.5655555555555558E-2</v>
      </c>
    </row>
    <row r="31" spans="1:34" ht="18.5" x14ac:dyDescent="0.45">
      <c r="A31" s="60"/>
      <c r="B31" s="8" t="s">
        <v>41</v>
      </c>
      <c r="C31" s="10">
        <v>8080</v>
      </c>
      <c r="D31" s="10">
        <v>9253</v>
      </c>
      <c r="E31" s="10">
        <v>8235</v>
      </c>
      <c r="F31" s="10">
        <v>6517</v>
      </c>
      <c r="G31" s="10">
        <v>5751</v>
      </c>
      <c r="H31" s="10">
        <v>5220</v>
      </c>
      <c r="I31" s="10">
        <v>6691</v>
      </c>
      <c r="J31" s="10">
        <v>7270</v>
      </c>
      <c r="K31" s="10">
        <v>5889</v>
      </c>
      <c r="L31" s="10">
        <v>5473</v>
      </c>
      <c r="M31" s="10">
        <v>2667</v>
      </c>
      <c r="N31" s="10">
        <v>6386</v>
      </c>
      <c r="O31" s="10">
        <v>8026</v>
      </c>
      <c r="P31" s="10">
        <v>8131</v>
      </c>
      <c r="Q31" s="10">
        <v>8009</v>
      </c>
      <c r="R31" s="10">
        <v>6910</v>
      </c>
      <c r="S31" s="10">
        <v>3887</v>
      </c>
      <c r="T31" s="58">
        <v>7500</v>
      </c>
      <c r="U31" s="10">
        <v>6755</v>
      </c>
      <c r="V31" s="81">
        <v>4911</v>
      </c>
      <c r="W31" s="21">
        <v>7269</v>
      </c>
      <c r="X31" s="22">
        <v>6991</v>
      </c>
      <c r="Y31" s="10">
        <v>8527</v>
      </c>
      <c r="Z31" s="10">
        <v>7433</v>
      </c>
      <c r="AA31" s="10">
        <v>8383</v>
      </c>
      <c r="AB31" s="22">
        <v>8695</v>
      </c>
      <c r="AC31" s="10">
        <v>8071</v>
      </c>
      <c r="AD31" s="22">
        <v>7350</v>
      </c>
      <c r="AE31" s="10">
        <v>8042</v>
      </c>
      <c r="AF31" s="16">
        <v>8489</v>
      </c>
      <c r="AG31" s="10">
        <v>8505</v>
      </c>
      <c r="AH31" s="23">
        <f>SUM(C31:AG31)</f>
        <v>219316</v>
      </c>
    </row>
    <row r="32" spans="1:34" ht="15.5" x14ac:dyDescent="0.35">
      <c r="A32" s="60"/>
      <c r="B32" s="8" t="s">
        <v>42</v>
      </c>
      <c r="C32" s="75">
        <v>2240</v>
      </c>
      <c r="D32" s="75">
        <v>6750</v>
      </c>
      <c r="E32" s="75">
        <v>3190</v>
      </c>
      <c r="F32" s="75">
        <v>3090</v>
      </c>
      <c r="G32" s="75">
        <v>3140</v>
      </c>
      <c r="H32" s="75">
        <v>0</v>
      </c>
      <c r="I32" s="75">
        <v>3990</v>
      </c>
      <c r="J32" s="75">
        <v>2120</v>
      </c>
      <c r="K32" s="75">
        <v>4780</v>
      </c>
      <c r="L32" s="75">
        <v>1023</v>
      </c>
      <c r="M32" s="75">
        <v>1080</v>
      </c>
      <c r="N32" s="75">
        <v>4000</v>
      </c>
      <c r="O32" s="75">
        <v>2160</v>
      </c>
      <c r="P32" s="75">
        <v>5040</v>
      </c>
      <c r="Q32" s="75">
        <v>5680</v>
      </c>
      <c r="R32" s="75">
        <v>6910</v>
      </c>
      <c r="S32" s="75">
        <v>3887</v>
      </c>
      <c r="T32" s="82">
        <v>7500</v>
      </c>
      <c r="U32" s="75">
        <v>6755</v>
      </c>
      <c r="V32" s="83">
        <v>4911</v>
      </c>
      <c r="W32" s="79">
        <v>7269</v>
      </c>
      <c r="X32" s="80">
        <v>6991</v>
      </c>
      <c r="Y32" s="75">
        <v>4607</v>
      </c>
      <c r="Z32" s="10">
        <v>4313</v>
      </c>
      <c r="AA32" s="10">
        <v>8383</v>
      </c>
      <c r="AB32" s="22">
        <v>5430</v>
      </c>
      <c r="AC32" s="10">
        <v>4830</v>
      </c>
      <c r="AD32" s="22">
        <v>7350</v>
      </c>
      <c r="AE32" s="10">
        <v>5040</v>
      </c>
      <c r="AF32" s="16">
        <v>4310</v>
      </c>
      <c r="AG32" s="10">
        <v>6360</v>
      </c>
      <c r="AH32" s="23">
        <f>SUM(C32:AG32)</f>
        <v>143129</v>
      </c>
    </row>
    <row r="33" spans="1:34" ht="15.5" x14ac:dyDescent="0.35">
      <c r="A33" s="60"/>
      <c r="B33" s="8" t="s">
        <v>43</v>
      </c>
      <c r="C33" s="75">
        <v>5840</v>
      </c>
      <c r="D33" s="75">
        <v>2503</v>
      </c>
      <c r="E33" s="61">
        <v>1510</v>
      </c>
      <c r="F33" s="75">
        <v>190</v>
      </c>
      <c r="G33" s="75">
        <v>2611</v>
      </c>
      <c r="H33" s="75">
        <v>3110</v>
      </c>
      <c r="I33" s="75">
        <v>2701</v>
      </c>
      <c r="J33" s="75">
        <v>5150</v>
      </c>
      <c r="K33" s="75">
        <v>1109</v>
      </c>
      <c r="L33" s="75">
        <v>3150</v>
      </c>
      <c r="M33" s="75">
        <v>1587</v>
      </c>
      <c r="N33" s="75">
        <v>2386</v>
      </c>
      <c r="O33" s="75">
        <v>2620</v>
      </c>
      <c r="P33" s="75">
        <v>3091</v>
      </c>
      <c r="Q33" s="61">
        <v>2329</v>
      </c>
      <c r="R33" s="75">
        <v>0</v>
      </c>
      <c r="S33" s="75">
        <v>0</v>
      </c>
      <c r="T33" s="1">
        <v>0</v>
      </c>
      <c r="U33" s="75">
        <v>0</v>
      </c>
      <c r="V33" s="84">
        <v>0</v>
      </c>
      <c r="W33" s="79">
        <v>0</v>
      </c>
      <c r="X33" s="80">
        <v>0</v>
      </c>
      <c r="Y33" s="75">
        <v>0</v>
      </c>
      <c r="Z33" s="10">
        <v>0</v>
      </c>
      <c r="AA33" s="10">
        <v>0</v>
      </c>
      <c r="AB33" s="22">
        <v>0</v>
      </c>
      <c r="AC33" s="10">
        <v>3241</v>
      </c>
      <c r="AD33" s="22">
        <v>0</v>
      </c>
      <c r="AE33" s="10">
        <v>3002</v>
      </c>
      <c r="AF33" s="16">
        <v>0</v>
      </c>
      <c r="AG33" s="10">
        <v>0</v>
      </c>
      <c r="AH33" s="23">
        <f>SUM(C33:AG33)</f>
        <v>46130</v>
      </c>
    </row>
    <row r="34" spans="1:34" ht="18.5" x14ac:dyDescent="0.45">
      <c r="A34" s="85"/>
      <c r="B34" s="8" t="s">
        <v>44</v>
      </c>
      <c r="C34" s="75">
        <v>0</v>
      </c>
      <c r="D34" s="75">
        <v>0</v>
      </c>
      <c r="E34" s="86">
        <v>3535</v>
      </c>
      <c r="F34" s="75">
        <v>3237</v>
      </c>
      <c r="G34" s="75">
        <v>0</v>
      </c>
      <c r="H34" s="75">
        <v>2110</v>
      </c>
      <c r="I34" s="75">
        <v>0</v>
      </c>
      <c r="J34" s="75">
        <v>0</v>
      </c>
      <c r="K34" s="75">
        <v>0</v>
      </c>
      <c r="L34" s="75">
        <v>1300</v>
      </c>
      <c r="M34" s="75">
        <v>0</v>
      </c>
      <c r="N34" s="75">
        <v>0</v>
      </c>
      <c r="O34" s="75">
        <v>3246</v>
      </c>
      <c r="P34" s="75">
        <v>0</v>
      </c>
      <c r="Q34" s="86">
        <v>0</v>
      </c>
      <c r="R34" s="75">
        <v>0</v>
      </c>
      <c r="S34" s="75">
        <v>0</v>
      </c>
      <c r="T34" s="87">
        <v>0</v>
      </c>
      <c r="U34" s="75">
        <v>0</v>
      </c>
      <c r="V34" s="88">
        <v>0</v>
      </c>
      <c r="W34" s="79">
        <v>0</v>
      </c>
      <c r="X34" s="80">
        <v>0</v>
      </c>
      <c r="Y34" s="75">
        <v>3920</v>
      </c>
      <c r="Z34" s="10">
        <v>3120</v>
      </c>
      <c r="AA34" s="10">
        <v>0</v>
      </c>
      <c r="AB34" s="22">
        <v>3280</v>
      </c>
      <c r="AC34" s="10">
        <v>0</v>
      </c>
      <c r="AD34" s="22">
        <v>0</v>
      </c>
      <c r="AE34" s="10">
        <v>0</v>
      </c>
      <c r="AF34" s="16">
        <v>4179</v>
      </c>
      <c r="AG34" s="10">
        <v>2145</v>
      </c>
      <c r="AH34" s="23">
        <f>+SUM(C34:AG34)</f>
        <v>30072</v>
      </c>
    </row>
    <row r="35" spans="1:34" ht="15.5" x14ac:dyDescent="0.35">
      <c r="A35" s="50" t="s">
        <v>45</v>
      </c>
      <c r="B35" s="8" t="s">
        <v>24</v>
      </c>
      <c r="C35" s="89">
        <v>19.750000000000004</v>
      </c>
      <c r="D35" s="89">
        <v>22.583333333333336</v>
      </c>
      <c r="E35" s="90">
        <v>19.166666666666668</v>
      </c>
      <c r="F35" s="89">
        <v>14.416666666666668</v>
      </c>
      <c r="G35" s="75">
        <v>13.916666666666668</v>
      </c>
      <c r="H35" s="89">
        <v>12.333333333333334</v>
      </c>
      <c r="I35" s="89">
        <v>17.166666666666668</v>
      </c>
      <c r="J35" s="89">
        <v>18.333333333333336</v>
      </c>
      <c r="K35" s="91">
        <v>15.250000000000002</v>
      </c>
      <c r="L35" s="75">
        <v>13.416666666666668</v>
      </c>
      <c r="M35" s="75">
        <v>6.9999999999999991</v>
      </c>
      <c r="N35" s="75">
        <v>17.166666666666668</v>
      </c>
      <c r="O35" s="75">
        <v>19.416666666666671</v>
      </c>
      <c r="P35" s="75">
        <v>22.333333333333332</v>
      </c>
      <c r="Q35" s="90">
        <v>22.416666666666668</v>
      </c>
      <c r="R35" s="89">
        <v>20.750000000000004</v>
      </c>
      <c r="S35" s="89">
        <v>10.166666666666668</v>
      </c>
      <c r="T35" s="92">
        <v>22</v>
      </c>
      <c r="U35" s="91">
        <v>20.250000000000004</v>
      </c>
      <c r="V35" s="93">
        <v>15.5</v>
      </c>
      <c r="W35" s="94">
        <v>22.5</v>
      </c>
      <c r="X35" s="80">
        <v>22.083333333333336</v>
      </c>
      <c r="Y35" s="75">
        <v>22.500000000000004</v>
      </c>
      <c r="Z35" s="10">
        <v>21</v>
      </c>
      <c r="AA35" s="10">
        <v>22.333333333333332</v>
      </c>
      <c r="AB35" s="22">
        <v>21.916666666666668</v>
      </c>
      <c r="AC35" s="10">
        <v>22.333333333333332</v>
      </c>
      <c r="AD35" s="48">
        <v>22.75</v>
      </c>
      <c r="AE35" s="10">
        <v>22.333333333333336</v>
      </c>
      <c r="AF35" s="16">
        <v>22.25</v>
      </c>
      <c r="AG35" s="10">
        <v>21.583333333333332</v>
      </c>
      <c r="AH35" s="95">
        <f t="shared" ref="AH35:AH48" si="3">SUM(C35:AG35)</f>
        <v>586.91666666666674</v>
      </c>
    </row>
    <row r="36" spans="1:34" x14ac:dyDescent="0.35">
      <c r="A36" s="50"/>
      <c r="B36" s="8" t="s">
        <v>46</v>
      </c>
      <c r="C36" s="89">
        <v>6.15</v>
      </c>
      <c r="D36" s="89">
        <v>17.13</v>
      </c>
      <c r="E36" s="90">
        <v>8.1999999999999993</v>
      </c>
      <c r="F36" s="89">
        <v>7.45</v>
      </c>
      <c r="G36" s="75">
        <v>8</v>
      </c>
      <c r="H36" s="89">
        <v>0</v>
      </c>
      <c r="I36" s="89">
        <v>11.016666666666667</v>
      </c>
      <c r="J36" s="89">
        <v>6.5</v>
      </c>
      <c r="K36" s="91">
        <v>12.25</v>
      </c>
      <c r="L36" s="75">
        <v>2.83</v>
      </c>
      <c r="M36" s="75">
        <v>3</v>
      </c>
      <c r="N36" s="75">
        <v>11.470000000000002</v>
      </c>
      <c r="O36" s="75">
        <v>5.85</v>
      </c>
      <c r="P36" s="75">
        <v>14.5</v>
      </c>
      <c r="Q36" s="90">
        <v>16.7</v>
      </c>
      <c r="R36" s="89">
        <v>20.75</v>
      </c>
      <c r="S36" s="89">
        <v>10.17</v>
      </c>
      <c r="T36" s="96">
        <v>22</v>
      </c>
      <c r="U36" s="91">
        <v>20.25</v>
      </c>
      <c r="V36" s="97">
        <v>15.5</v>
      </c>
      <c r="W36" s="79">
        <v>22.5</v>
      </c>
      <c r="X36" s="98">
        <v>22.08</v>
      </c>
      <c r="Y36" s="75">
        <v>14.1</v>
      </c>
      <c r="Z36" s="10">
        <v>14</v>
      </c>
      <c r="AA36" s="10">
        <v>22.33</v>
      </c>
      <c r="AB36" s="22">
        <v>15.52</v>
      </c>
      <c r="AC36" s="10">
        <v>14.33</v>
      </c>
      <c r="AD36" s="48">
        <v>22.75</v>
      </c>
      <c r="AE36" s="10">
        <v>14.673333333333336</v>
      </c>
      <c r="AF36" s="16">
        <v>12.75</v>
      </c>
      <c r="AG36" s="10">
        <v>17.579999999999998</v>
      </c>
      <c r="AH36" s="95">
        <f t="shared" si="3"/>
        <v>412.32999999999993</v>
      </c>
    </row>
    <row r="37" spans="1:34" x14ac:dyDescent="0.35">
      <c r="A37" s="50"/>
      <c r="B37" s="8" t="s">
        <v>47</v>
      </c>
      <c r="C37" s="89">
        <v>13.6</v>
      </c>
      <c r="D37" s="89">
        <v>5.45</v>
      </c>
      <c r="E37" s="90">
        <v>3.5</v>
      </c>
      <c r="F37" s="89">
        <v>0.42</v>
      </c>
      <c r="G37" s="89">
        <v>5.92</v>
      </c>
      <c r="H37" s="89">
        <v>7.5333333333333341</v>
      </c>
      <c r="I37" s="89">
        <v>6.15</v>
      </c>
      <c r="J37" s="89">
        <v>11.829999999999998</v>
      </c>
      <c r="K37" s="89">
        <v>3.0000000000000018</v>
      </c>
      <c r="L37" s="89">
        <v>7.6</v>
      </c>
      <c r="M37" s="89">
        <v>4</v>
      </c>
      <c r="N37" s="89">
        <v>5.7</v>
      </c>
      <c r="O37" s="75">
        <v>6.3</v>
      </c>
      <c r="P37" s="75">
        <v>7.8333333333333321</v>
      </c>
      <c r="Q37" s="90">
        <v>5.7166666666666686</v>
      </c>
      <c r="R37" s="89">
        <v>0</v>
      </c>
      <c r="S37" s="89">
        <v>-3.333333333332078E-3</v>
      </c>
      <c r="T37" s="96">
        <v>0</v>
      </c>
      <c r="U37" s="91">
        <v>0</v>
      </c>
      <c r="V37" s="97">
        <v>0</v>
      </c>
      <c r="W37" s="94">
        <v>0</v>
      </c>
      <c r="X37" s="98">
        <v>0</v>
      </c>
      <c r="Y37" s="75">
        <v>0</v>
      </c>
      <c r="Z37" s="10">
        <v>0</v>
      </c>
      <c r="AA37" s="10">
        <v>0</v>
      </c>
      <c r="AB37" s="22">
        <v>0</v>
      </c>
      <c r="AC37" s="10">
        <v>8</v>
      </c>
      <c r="AD37" s="48">
        <v>0</v>
      </c>
      <c r="AE37" s="10">
        <v>7.66</v>
      </c>
      <c r="AF37" s="16">
        <v>0</v>
      </c>
      <c r="AG37" s="10">
        <v>0</v>
      </c>
      <c r="AH37" s="95">
        <f t="shared" si="3"/>
        <v>110.21</v>
      </c>
    </row>
    <row r="38" spans="1:34" x14ac:dyDescent="0.35">
      <c r="A38" s="50"/>
      <c r="B38" s="8" t="s">
        <v>48</v>
      </c>
      <c r="C38" s="89">
        <v>0</v>
      </c>
      <c r="D38" s="89">
        <v>0</v>
      </c>
      <c r="E38" s="90">
        <v>7.4666666666666686</v>
      </c>
      <c r="F38" s="89">
        <v>6.5466666666666677</v>
      </c>
      <c r="G38" s="89">
        <v>-3.333333333332078E-3</v>
      </c>
      <c r="H38" s="89">
        <v>4.8</v>
      </c>
      <c r="I38" s="89">
        <v>0</v>
      </c>
      <c r="J38" s="89">
        <v>0</v>
      </c>
      <c r="K38" s="89">
        <v>0</v>
      </c>
      <c r="L38" s="89">
        <v>2.99</v>
      </c>
      <c r="M38" s="89">
        <v>0</v>
      </c>
      <c r="N38" s="89">
        <v>0</v>
      </c>
      <c r="O38" s="75">
        <v>7.2666666666666719</v>
      </c>
      <c r="P38" s="75">
        <v>0</v>
      </c>
      <c r="Q38" s="90">
        <v>0</v>
      </c>
      <c r="R38" s="89">
        <v>0</v>
      </c>
      <c r="S38" s="89">
        <v>0</v>
      </c>
      <c r="T38" s="96">
        <v>0</v>
      </c>
      <c r="U38" s="91">
        <v>0</v>
      </c>
      <c r="V38" s="97">
        <v>0</v>
      </c>
      <c r="W38" s="94">
        <v>0</v>
      </c>
      <c r="X38" s="98">
        <v>0</v>
      </c>
      <c r="Y38" s="75">
        <v>8.4</v>
      </c>
      <c r="Z38" s="10">
        <v>7</v>
      </c>
      <c r="AA38" s="10">
        <v>0</v>
      </c>
      <c r="AB38" s="47">
        <v>6.4</v>
      </c>
      <c r="AC38" s="41">
        <v>0</v>
      </c>
      <c r="AD38" s="48">
        <v>0</v>
      </c>
      <c r="AE38" s="41">
        <v>0</v>
      </c>
      <c r="AF38" s="16">
        <v>9.5</v>
      </c>
      <c r="AG38" s="41">
        <v>5</v>
      </c>
      <c r="AH38" s="95">
        <f>SUM(C38:AG38)</f>
        <v>65.366666666666674</v>
      </c>
    </row>
    <row r="39" spans="1:34" x14ac:dyDescent="0.35">
      <c r="A39" s="50"/>
      <c r="B39" s="8" t="s">
        <v>49</v>
      </c>
      <c r="C39" s="41">
        <v>7.2500000000000009</v>
      </c>
      <c r="D39" s="41">
        <v>22.916666666666668</v>
      </c>
      <c r="E39" s="99">
        <v>22.666666666666668</v>
      </c>
      <c r="F39" s="41">
        <v>22.75</v>
      </c>
      <c r="G39" s="41">
        <v>22.916666666666668</v>
      </c>
      <c r="H39" s="41">
        <v>22.166666666666668</v>
      </c>
      <c r="I39" s="41">
        <v>23.000000000000004</v>
      </c>
      <c r="J39" s="41">
        <v>23.083333333333336</v>
      </c>
      <c r="K39" s="41">
        <v>19.416666666666668</v>
      </c>
      <c r="L39" s="41">
        <v>23.25</v>
      </c>
      <c r="M39" s="41">
        <v>10</v>
      </c>
      <c r="N39" s="41">
        <v>23.083333333333336</v>
      </c>
      <c r="O39" s="41">
        <v>22.250000000000004</v>
      </c>
      <c r="P39" s="41">
        <v>23.083333333333336</v>
      </c>
      <c r="Q39" s="99">
        <v>22.333333333333336</v>
      </c>
      <c r="R39" s="41">
        <v>22</v>
      </c>
      <c r="S39" s="41">
        <v>20.583333333333332</v>
      </c>
      <c r="T39" s="100">
        <v>22.916666666666668</v>
      </c>
      <c r="U39" s="41">
        <v>21.666666666666668</v>
      </c>
      <c r="V39" s="101">
        <v>16.000000000000004</v>
      </c>
      <c r="W39" s="52">
        <v>23.5</v>
      </c>
      <c r="X39" s="48">
        <v>23.000000000000004</v>
      </c>
      <c r="Y39" s="41">
        <v>23.833333333333336</v>
      </c>
      <c r="Z39" s="41">
        <v>21.666666666666668</v>
      </c>
      <c r="AA39" s="41">
        <v>23.666666666666668</v>
      </c>
      <c r="AB39" s="48">
        <v>22.5</v>
      </c>
      <c r="AC39" s="41">
        <v>23.166666666666668</v>
      </c>
      <c r="AD39" s="48">
        <v>23.5</v>
      </c>
      <c r="AE39" s="41">
        <v>23.083333333333336</v>
      </c>
      <c r="AF39" s="16">
        <v>23.5</v>
      </c>
      <c r="AG39" s="41">
        <v>22.583333333333336</v>
      </c>
      <c r="AH39" s="95">
        <f t="shared" si="3"/>
        <v>667.33333333333337</v>
      </c>
    </row>
    <row r="40" spans="1:34" x14ac:dyDescent="0.35">
      <c r="A40" s="50"/>
      <c r="B40" s="8" t="s">
        <v>50</v>
      </c>
      <c r="C40" s="41">
        <v>22.333333333333336</v>
      </c>
      <c r="D40" s="41">
        <v>22.75</v>
      </c>
      <c r="E40" s="99">
        <v>22.666666666666668</v>
      </c>
      <c r="F40" s="41">
        <v>22.5</v>
      </c>
      <c r="G40" s="41">
        <v>22.333333333333336</v>
      </c>
      <c r="H40" s="41">
        <v>22.166666666666668</v>
      </c>
      <c r="I40" s="41">
        <v>22.916666666666668</v>
      </c>
      <c r="J40" s="41">
        <v>23.000000000000004</v>
      </c>
      <c r="K40" s="41">
        <v>19.250000000000004</v>
      </c>
      <c r="L40" s="41">
        <v>23.000000000000004</v>
      </c>
      <c r="M40" s="41">
        <v>10</v>
      </c>
      <c r="N40" s="41">
        <v>22.916666666666668</v>
      </c>
      <c r="O40" s="41">
        <v>22.250000000000004</v>
      </c>
      <c r="P40" s="41">
        <v>22.916666666666668</v>
      </c>
      <c r="Q40" s="99">
        <v>22.916666666666668</v>
      </c>
      <c r="R40" s="41">
        <v>21.916666666666668</v>
      </c>
      <c r="S40" s="41">
        <v>20.416666666666668</v>
      </c>
      <c r="T40" s="100">
        <v>23.000000000000004</v>
      </c>
      <c r="U40" s="41">
        <v>21</v>
      </c>
      <c r="V40" s="101">
        <v>16.000000000000004</v>
      </c>
      <c r="W40" s="52">
        <v>23.5</v>
      </c>
      <c r="X40" s="48">
        <v>22.666666666666668</v>
      </c>
      <c r="Y40" s="41">
        <v>23.166666666666668</v>
      </c>
      <c r="Z40" s="41">
        <v>22</v>
      </c>
      <c r="AA40" s="41">
        <v>23.666666666666668</v>
      </c>
      <c r="AB40" s="48">
        <v>22.5</v>
      </c>
      <c r="AC40" s="41">
        <v>22.416666666666668</v>
      </c>
      <c r="AD40" s="48">
        <v>23.166666666666668</v>
      </c>
      <c r="AE40" s="41">
        <v>22.666666666666668</v>
      </c>
      <c r="AF40" s="16">
        <v>23.000000000000004</v>
      </c>
      <c r="AG40" s="41">
        <v>22.916666666666668</v>
      </c>
      <c r="AH40" s="95">
        <f t="shared" si="3"/>
        <v>677.91666666666663</v>
      </c>
    </row>
    <row r="41" spans="1:34" x14ac:dyDescent="0.35">
      <c r="A41" s="50"/>
      <c r="B41" s="8" t="s">
        <v>51</v>
      </c>
      <c r="C41" s="41">
        <v>21.75</v>
      </c>
      <c r="D41" s="41">
        <v>22.75</v>
      </c>
      <c r="E41" s="99">
        <v>13.583333333333336</v>
      </c>
      <c r="F41" s="41">
        <v>6</v>
      </c>
      <c r="G41" s="41">
        <v>0</v>
      </c>
      <c r="H41" s="41">
        <v>22.166666666666668</v>
      </c>
      <c r="I41" s="41">
        <v>23.000000000000004</v>
      </c>
      <c r="J41" s="41">
        <v>22.916666666666668</v>
      </c>
      <c r="K41" s="41">
        <v>19.250000000000004</v>
      </c>
      <c r="L41" s="41">
        <v>22.916666666666668</v>
      </c>
      <c r="M41" s="41">
        <v>10</v>
      </c>
      <c r="N41" s="41">
        <v>22.916666666666668</v>
      </c>
      <c r="O41" s="41">
        <v>22.250000000000004</v>
      </c>
      <c r="P41" s="41">
        <v>21.833333333333336</v>
      </c>
      <c r="Q41" s="99">
        <v>23.000000000000004</v>
      </c>
      <c r="R41" s="41">
        <v>21.25</v>
      </c>
      <c r="S41" s="41">
        <v>20.166666666666668</v>
      </c>
      <c r="T41" s="100">
        <v>22.916666666666668</v>
      </c>
      <c r="U41" s="41">
        <v>21.500000000000004</v>
      </c>
      <c r="V41" s="101">
        <v>16.000000000000004</v>
      </c>
      <c r="W41" s="52">
        <v>23.000000000000004</v>
      </c>
      <c r="X41" s="48">
        <v>22.333333333333336</v>
      </c>
      <c r="Y41" s="41">
        <v>23.166666666666668</v>
      </c>
      <c r="Z41" s="41">
        <v>22</v>
      </c>
      <c r="AA41" s="41">
        <v>23.666666666666668</v>
      </c>
      <c r="AB41" s="48">
        <v>22.333333333333336</v>
      </c>
      <c r="AC41" s="41">
        <v>22.833333333333332</v>
      </c>
      <c r="AD41" s="48">
        <v>23.000000000000004</v>
      </c>
      <c r="AE41" s="41">
        <v>22</v>
      </c>
      <c r="AF41" s="16">
        <v>22.833333333333332</v>
      </c>
      <c r="AG41" s="41">
        <v>21.916666666666668</v>
      </c>
      <c r="AH41" s="95">
        <f t="shared" si="3"/>
        <v>625.25000000000011</v>
      </c>
    </row>
    <row r="42" spans="1:34" x14ac:dyDescent="0.35">
      <c r="A42" s="50"/>
      <c r="B42" s="8" t="s">
        <v>52</v>
      </c>
      <c r="C42" s="41">
        <v>22.083333333333332</v>
      </c>
      <c r="D42" s="41">
        <v>22.75</v>
      </c>
      <c r="E42" s="99">
        <v>23.000000000000004</v>
      </c>
      <c r="F42" s="41">
        <v>20.333333333333336</v>
      </c>
      <c r="G42" s="41">
        <v>22.333333333333336</v>
      </c>
      <c r="H42" s="41">
        <v>22.166666666666668</v>
      </c>
      <c r="I42" s="41">
        <v>23.000000000000004</v>
      </c>
      <c r="J42" s="41">
        <v>23.333333333333336</v>
      </c>
      <c r="K42" s="41">
        <v>19.250000000000004</v>
      </c>
      <c r="L42" s="41">
        <v>22.166666666666668</v>
      </c>
      <c r="M42" s="41">
        <v>8.4166666666666661</v>
      </c>
      <c r="N42" s="41">
        <v>23.000000000000004</v>
      </c>
      <c r="O42" s="41">
        <v>22.166666666666668</v>
      </c>
      <c r="P42" s="41">
        <v>23.000000000000004</v>
      </c>
      <c r="Q42" s="99">
        <v>22.583333333333336</v>
      </c>
      <c r="R42" s="41">
        <v>21.666666666666668</v>
      </c>
      <c r="S42" s="41">
        <v>20.166666666666668</v>
      </c>
      <c r="T42" s="100">
        <v>22.5</v>
      </c>
      <c r="U42" s="41">
        <v>19.166666666666668</v>
      </c>
      <c r="V42" s="101">
        <v>15.666666666666664</v>
      </c>
      <c r="W42" s="52">
        <v>22.416666666666668</v>
      </c>
      <c r="X42" s="48">
        <v>22.166666666666668</v>
      </c>
      <c r="Y42" s="41">
        <v>22.666666666666668</v>
      </c>
      <c r="Z42" s="41">
        <v>21.500000000000004</v>
      </c>
      <c r="AA42" s="41">
        <v>22.333333333333336</v>
      </c>
      <c r="AB42" s="48">
        <v>22</v>
      </c>
      <c r="AC42" s="41">
        <v>22.75</v>
      </c>
      <c r="AD42" s="48">
        <v>23.333333333333336</v>
      </c>
      <c r="AE42" s="41">
        <v>22.416666666666668</v>
      </c>
      <c r="AF42" s="16">
        <v>22.333333333333336</v>
      </c>
      <c r="AG42" s="41">
        <v>22.583333333333336</v>
      </c>
      <c r="AH42" s="95">
        <f t="shared" si="3"/>
        <v>665.25000000000023</v>
      </c>
    </row>
    <row r="43" spans="1:34" x14ac:dyDescent="0.35">
      <c r="A43" s="50"/>
      <c r="B43" s="8" t="s">
        <v>53</v>
      </c>
      <c r="C43" s="41">
        <v>21.666666666666668</v>
      </c>
      <c r="D43" s="41">
        <v>22.916666666666668</v>
      </c>
      <c r="E43" s="99">
        <v>23.000000000000004</v>
      </c>
      <c r="F43" s="41">
        <v>20.583333333333332</v>
      </c>
      <c r="G43" s="41">
        <v>21.75</v>
      </c>
      <c r="H43" s="41">
        <v>4.2500000000000009</v>
      </c>
      <c r="I43" s="41">
        <v>22.5</v>
      </c>
      <c r="J43" s="41">
        <v>23.000000000000004</v>
      </c>
      <c r="K43" s="41">
        <v>15.666666666666664</v>
      </c>
      <c r="L43" s="41">
        <v>8.7500000000000018</v>
      </c>
      <c r="M43" s="41">
        <v>8.9166666666666679</v>
      </c>
      <c r="N43" s="41">
        <v>22.5</v>
      </c>
      <c r="O43" s="41">
        <v>22.166666666666668</v>
      </c>
      <c r="P43" s="41">
        <v>22.333333333333336</v>
      </c>
      <c r="Q43" s="99">
        <v>22.833333333333332</v>
      </c>
      <c r="R43" s="41">
        <v>21</v>
      </c>
      <c r="S43" s="41">
        <v>0</v>
      </c>
      <c r="T43" s="100">
        <v>21.666666666666668</v>
      </c>
      <c r="U43" s="41">
        <v>19.166666666666668</v>
      </c>
      <c r="V43" s="101">
        <v>15.666666666666664</v>
      </c>
      <c r="W43" s="52">
        <v>21.583333333333336</v>
      </c>
      <c r="X43" s="48">
        <v>21.666666666666668</v>
      </c>
      <c r="Y43" s="41">
        <v>23.000000000000004</v>
      </c>
      <c r="Z43" s="41">
        <v>21.166666666666668</v>
      </c>
      <c r="AA43" s="41">
        <v>22.833333333333332</v>
      </c>
      <c r="AB43" s="48">
        <v>22</v>
      </c>
      <c r="AC43" s="41">
        <v>22.333333333333336</v>
      </c>
      <c r="AD43" s="48">
        <v>22.083333333333332</v>
      </c>
      <c r="AE43" s="41">
        <v>22</v>
      </c>
      <c r="AF43" s="16">
        <v>19.75</v>
      </c>
      <c r="AG43" s="41">
        <v>22.583333333333336</v>
      </c>
      <c r="AH43" s="95">
        <f t="shared" si="3"/>
        <v>601.33333333333348</v>
      </c>
    </row>
    <row r="44" spans="1:34" x14ac:dyDescent="0.35">
      <c r="A44" s="50"/>
      <c r="B44" s="8" t="s">
        <v>54</v>
      </c>
      <c r="C44" s="41">
        <v>18.916666666666668</v>
      </c>
      <c r="D44" s="41">
        <v>22.083333333333332</v>
      </c>
      <c r="E44" s="99">
        <v>15</v>
      </c>
      <c r="F44" s="41">
        <v>2.0000000000000009</v>
      </c>
      <c r="G44" s="41">
        <v>0</v>
      </c>
      <c r="H44" s="41">
        <v>0</v>
      </c>
      <c r="I44" s="41">
        <v>0</v>
      </c>
      <c r="J44" s="41">
        <v>8.3333333333333339</v>
      </c>
      <c r="K44" s="41">
        <v>14.749999999999998</v>
      </c>
      <c r="L44" s="41">
        <v>0</v>
      </c>
      <c r="M44" s="41">
        <v>0</v>
      </c>
      <c r="N44" s="41">
        <v>0</v>
      </c>
      <c r="O44" s="41">
        <v>19.166666666666668</v>
      </c>
      <c r="P44" s="41">
        <v>21.666666666666668</v>
      </c>
      <c r="Q44" s="99">
        <v>21.166666666666668</v>
      </c>
      <c r="R44" s="41">
        <v>18.916666666666668</v>
      </c>
      <c r="S44" s="41">
        <v>0</v>
      </c>
      <c r="T44" s="100">
        <v>20.5</v>
      </c>
      <c r="U44" s="41">
        <v>19.5</v>
      </c>
      <c r="V44" s="101">
        <v>14.666666666666668</v>
      </c>
      <c r="W44" s="52">
        <v>22</v>
      </c>
      <c r="X44" s="48">
        <v>21.083333333333336</v>
      </c>
      <c r="Y44" s="41">
        <v>22.5</v>
      </c>
      <c r="Z44" s="41">
        <v>20.000000000000004</v>
      </c>
      <c r="AA44" s="41">
        <v>22.666666666666668</v>
      </c>
      <c r="AB44" s="48">
        <v>21</v>
      </c>
      <c r="AC44" s="41">
        <v>21.583333333333336</v>
      </c>
      <c r="AD44" s="48">
        <v>22.166666666666668</v>
      </c>
      <c r="AE44" s="41">
        <v>22.416666666666668</v>
      </c>
      <c r="AF44" s="16">
        <v>21.25</v>
      </c>
      <c r="AG44" s="41">
        <v>17.25</v>
      </c>
      <c r="AH44" s="95">
        <f t="shared" si="3"/>
        <v>450.58333333333337</v>
      </c>
    </row>
    <row r="45" spans="1:34" x14ac:dyDescent="0.35">
      <c r="A45" s="50"/>
      <c r="B45" s="8" t="s">
        <v>55</v>
      </c>
      <c r="C45" s="41">
        <v>21.666666666666668</v>
      </c>
      <c r="D45" s="41">
        <v>22.333333333333336</v>
      </c>
      <c r="E45" s="99">
        <v>10.416666666666668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3</v>
      </c>
      <c r="P45" s="41">
        <v>20.916666666666668</v>
      </c>
      <c r="Q45" s="99">
        <v>21.583333333333336</v>
      </c>
      <c r="R45" s="41">
        <v>17.666666666666668</v>
      </c>
      <c r="S45" s="41">
        <v>0</v>
      </c>
      <c r="T45" s="100">
        <v>20.5</v>
      </c>
      <c r="U45" s="102">
        <v>19.666666666666668</v>
      </c>
      <c r="V45" s="101">
        <v>14.333333333333336</v>
      </c>
      <c r="W45" s="52">
        <v>21.583333333333336</v>
      </c>
      <c r="X45" s="48">
        <v>21.666666666666668</v>
      </c>
      <c r="Y45" s="41">
        <v>18.583333333333336</v>
      </c>
      <c r="Z45" s="41">
        <v>18</v>
      </c>
      <c r="AA45" s="41">
        <v>21.166666666666668</v>
      </c>
      <c r="AB45" s="48">
        <v>21</v>
      </c>
      <c r="AC45" s="41">
        <v>20.916666666666668</v>
      </c>
      <c r="AD45" s="48">
        <v>21</v>
      </c>
      <c r="AE45" s="41">
        <v>21</v>
      </c>
      <c r="AF45" s="16">
        <v>21.833333333333336</v>
      </c>
      <c r="AG45" s="41">
        <v>20.666666666666668</v>
      </c>
      <c r="AH45" s="95">
        <f t="shared" si="3"/>
        <v>399.50000000000006</v>
      </c>
    </row>
    <row r="46" spans="1:34" x14ac:dyDescent="0.35">
      <c r="A46" s="50"/>
      <c r="B46" s="8" t="s">
        <v>56</v>
      </c>
      <c r="C46" s="41">
        <v>22.333333333333336</v>
      </c>
      <c r="D46" s="41">
        <v>22.166666666666668</v>
      </c>
      <c r="E46" s="99">
        <v>23.000000000000004</v>
      </c>
      <c r="F46" s="41">
        <v>21.166666666666668</v>
      </c>
      <c r="G46" s="41">
        <v>22</v>
      </c>
      <c r="H46" s="41">
        <v>5.7500000000000009</v>
      </c>
      <c r="I46" s="41">
        <v>22.916666666666668</v>
      </c>
      <c r="J46" s="41">
        <v>23.000000000000004</v>
      </c>
      <c r="K46" s="41">
        <v>14.416666666666666</v>
      </c>
      <c r="L46" s="41">
        <v>7.2500000000000009</v>
      </c>
      <c r="M46" s="41">
        <v>8.6666666666666661</v>
      </c>
      <c r="N46" s="41">
        <v>22.916666666666668</v>
      </c>
      <c r="O46" s="41">
        <v>22.083333333333332</v>
      </c>
      <c r="P46" s="41">
        <v>22.916666666666668</v>
      </c>
      <c r="Q46" s="99">
        <v>22.916666666666668</v>
      </c>
      <c r="R46" s="41">
        <v>21.583333333333336</v>
      </c>
      <c r="S46" s="41">
        <v>0</v>
      </c>
      <c r="T46" s="100">
        <v>22</v>
      </c>
      <c r="U46" s="102">
        <v>20.333333333333336</v>
      </c>
      <c r="V46" s="101">
        <v>15.666666666666664</v>
      </c>
      <c r="W46" s="52">
        <v>22.416666666666668</v>
      </c>
      <c r="X46" s="48">
        <v>22.083333333333332</v>
      </c>
      <c r="Y46" s="41">
        <v>23.083333333333336</v>
      </c>
      <c r="Z46" s="41">
        <v>21.666666666666668</v>
      </c>
      <c r="AA46" s="41">
        <v>18.666666666666668</v>
      </c>
      <c r="AB46" s="48">
        <v>22</v>
      </c>
      <c r="AC46" s="41">
        <v>22.666666666666668</v>
      </c>
      <c r="AD46" s="48">
        <v>23.750000000000004</v>
      </c>
      <c r="AE46" s="41">
        <v>23.083333333333336</v>
      </c>
      <c r="AF46" s="16">
        <v>23.5</v>
      </c>
      <c r="AG46" s="41">
        <v>22.166666666666668</v>
      </c>
      <c r="AH46" s="95">
        <f t="shared" si="3"/>
        <v>608.16666666666663</v>
      </c>
    </row>
    <row r="47" spans="1:34" x14ac:dyDescent="0.35">
      <c r="A47" s="50"/>
      <c r="B47" s="8" t="s">
        <v>57</v>
      </c>
      <c r="C47" s="10">
        <v>76290</v>
      </c>
      <c r="D47" s="10">
        <v>75390</v>
      </c>
      <c r="E47" s="10">
        <v>50684</v>
      </c>
      <c r="F47" s="10">
        <v>68382</v>
      </c>
      <c r="G47" s="10">
        <v>66784</v>
      </c>
      <c r="H47" s="10">
        <v>59881</v>
      </c>
      <c r="I47" s="10">
        <v>82477</v>
      </c>
      <c r="J47" s="10">
        <v>71933</v>
      </c>
      <c r="K47" s="10">
        <v>51492</v>
      </c>
      <c r="L47" s="10">
        <v>56626</v>
      </c>
      <c r="M47" s="10">
        <v>24290</v>
      </c>
      <c r="N47" s="10">
        <v>68593</v>
      </c>
      <c r="O47" s="10">
        <v>60113</v>
      </c>
      <c r="P47" s="10">
        <v>64226</v>
      </c>
      <c r="Q47" s="10">
        <v>53155</v>
      </c>
      <c r="R47" s="10">
        <v>49039</v>
      </c>
      <c r="S47" s="10">
        <v>46262</v>
      </c>
      <c r="T47" s="20">
        <v>55669</v>
      </c>
      <c r="U47" s="10">
        <v>51999</v>
      </c>
      <c r="V47" s="12">
        <v>56758</v>
      </c>
      <c r="W47" s="21">
        <v>55249</v>
      </c>
      <c r="X47" s="22">
        <v>40684</v>
      </c>
      <c r="Y47" s="10">
        <v>42642</v>
      </c>
      <c r="Z47" s="10">
        <v>49928</v>
      </c>
      <c r="AA47" s="10">
        <v>46637</v>
      </c>
      <c r="AB47" s="22">
        <v>44359</v>
      </c>
      <c r="AC47" s="10">
        <v>50741</v>
      </c>
      <c r="AD47" s="22">
        <v>47144</v>
      </c>
      <c r="AE47" s="10">
        <v>49608</v>
      </c>
      <c r="AF47" s="16">
        <v>47339</v>
      </c>
      <c r="AG47" s="10">
        <v>48181</v>
      </c>
      <c r="AH47" s="23">
        <f t="shared" si="3"/>
        <v>1712555</v>
      </c>
    </row>
    <row r="48" spans="1:34" x14ac:dyDescent="0.35">
      <c r="A48" s="50"/>
      <c r="B48" s="8" t="s">
        <v>58</v>
      </c>
      <c r="C48" s="103">
        <v>6676.666666666667</v>
      </c>
      <c r="D48" s="103">
        <v>6484.79</v>
      </c>
      <c r="E48" s="26">
        <v>4774.2</v>
      </c>
      <c r="F48" s="103">
        <v>6517</v>
      </c>
      <c r="G48" s="103">
        <v>5751</v>
      </c>
      <c r="H48" s="103">
        <v>5220</v>
      </c>
      <c r="I48" s="103">
        <v>6691</v>
      </c>
      <c r="J48" s="103">
        <v>6505</v>
      </c>
      <c r="K48" s="103">
        <v>4240.2</v>
      </c>
      <c r="L48" s="103">
        <v>4512.2</v>
      </c>
      <c r="M48" s="103">
        <v>1835</v>
      </c>
      <c r="N48" s="103">
        <v>5318.375</v>
      </c>
      <c r="O48" s="103">
        <v>5214.9166666666661</v>
      </c>
      <c r="P48" s="103">
        <v>4685.1666666666661</v>
      </c>
      <c r="Q48" s="26">
        <v>3919.666666666667</v>
      </c>
      <c r="R48" s="103">
        <v>3642.5</v>
      </c>
      <c r="S48" s="103">
        <v>3887</v>
      </c>
      <c r="T48" s="27">
        <v>3728.833333333333</v>
      </c>
      <c r="U48" s="103">
        <v>3492.3333333333326</v>
      </c>
      <c r="V48" s="104">
        <v>3567</v>
      </c>
      <c r="W48" s="105">
        <v>3705.3666666666659</v>
      </c>
      <c r="X48" s="106">
        <v>2591.9333333333338</v>
      </c>
      <c r="Y48" s="10">
        <v>3511.3250000000003</v>
      </c>
      <c r="Z48" s="10">
        <v>3810.3333333333326</v>
      </c>
      <c r="AA48" s="10">
        <v>3777</v>
      </c>
      <c r="AB48" s="22">
        <v>3655.8</v>
      </c>
      <c r="AC48" s="10">
        <v>3722.1333333333328</v>
      </c>
      <c r="AD48" s="22">
        <v>3414.25</v>
      </c>
      <c r="AE48" s="10">
        <v>3712.7916666666665</v>
      </c>
      <c r="AF48" s="16">
        <v>3925.5499999999993</v>
      </c>
      <c r="AG48" s="10">
        <v>3787.5249999999996</v>
      </c>
      <c r="AH48" s="23">
        <f t="shared" si="3"/>
        <v>136276.85666666666</v>
      </c>
    </row>
    <row r="49" spans="1:34" ht="15.5" x14ac:dyDescent="0.35">
      <c r="A49" s="50"/>
      <c r="B49" s="8" t="s">
        <v>59</v>
      </c>
      <c r="C49" s="41">
        <v>11.426360459311033</v>
      </c>
      <c r="D49" s="41">
        <v>11.625665595956075</v>
      </c>
      <c r="E49" s="99">
        <v>10.616228896987977</v>
      </c>
      <c r="F49" s="41">
        <v>10.492864815098972</v>
      </c>
      <c r="G49" s="41">
        <v>11.612589114936533</v>
      </c>
      <c r="H49" s="41">
        <v>11.471455938697318</v>
      </c>
      <c r="I49" s="41">
        <v>12.326558063069795</v>
      </c>
      <c r="J49" s="41">
        <v>11.058109146810146</v>
      </c>
      <c r="K49" s="41">
        <v>12.143766803452667</v>
      </c>
      <c r="L49" s="41">
        <v>12.549532378883915</v>
      </c>
      <c r="M49" s="41">
        <v>13.237057220708447</v>
      </c>
      <c r="N49" s="41">
        <v>12.897360565962348</v>
      </c>
      <c r="O49" s="41">
        <v>11.527125713098645</v>
      </c>
      <c r="P49" s="41">
        <v>13.708370388815768</v>
      </c>
      <c r="Q49" s="99">
        <v>13.561102134535249</v>
      </c>
      <c r="R49" s="41">
        <v>13.463006177076183</v>
      </c>
      <c r="S49" s="41">
        <v>11.901723694365835</v>
      </c>
      <c r="T49" s="107">
        <v>14.929334465650562</v>
      </c>
      <c r="U49" s="41">
        <v>14.889472177149951</v>
      </c>
      <c r="V49" s="108">
        <v>15.911970843846369</v>
      </c>
      <c r="W49" s="52">
        <v>14.910535169708805</v>
      </c>
      <c r="X49" s="48">
        <v>15.69639136809074</v>
      </c>
      <c r="Y49" s="41">
        <v>12.144133624771275</v>
      </c>
      <c r="Z49" s="41">
        <v>13.103315545446595</v>
      </c>
      <c r="AA49" s="41">
        <v>12.347630394492985</v>
      </c>
      <c r="AB49" s="48">
        <v>12.133869467695169</v>
      </c>
      <c r="AC49" s="41">
        <v>13.632235993695375</v>
      </c>
      <c r="AD49" s="48">
        <v>13.808010544043348</v>
      </c>
      <c r="AE49" s="41">
        <v>13.361374527253751</v>
      </c>
      <c r="AF49" s="16">
        <v>12.059201895275823</v>
      </c>
      <c r="AG49" s="41">
        <v>12.720972138797764</v>
      </c>
      <c r="AH49" s="109">
        <f>+AH47/AH48</f>
        <v>12.566733940663978</v>
      </c>
    </row>
    <row r="50" spans="1:34" x14ac:dyDescent="0.35">
      <c r="A50" s="50"/>
      <c r="B50" s="8" t="s">
        <v>60</v>
      </c>
      <c r="C50" s="75">
        <v>10492.720000000008</v>
      </c>
      <c r="D50" s="75">
        <v>11557.800000000007</v>
      </c>
      <c r="E50" s="10">
        <v>10492.720000000008</v>
      </c>
      <c r="F50" s="75">
        <v>0</v>
      </c>
      <c r="G50" s="75"/>
      <c r="H50" s="75"/>
      <c r="I50" s="75"/>
      <c r="J50" s="75">
        <v>2997.9199999999696</v>
      </c>
      <c r="K50" s="75">
        <v>6076.6999999999935</v>
      </c>
      <c r="L50" s="75">
        <v>6745.3199999999897</v>
      </c>
      <c r="M50" s="75">
        <v>4892.4800000000178</v>
      </c>
      <c r="N50" s="75">
        <v>12179.050000000007</v>
      </c>
      <c r="O50" s="75">
        <v>11557.800000000007</v>
      </c>
      <c r="P50" s="75">
        <v>13865.380000000005</v>
      </c>
      <c r="Q50" s="10">
        <v>16863.299999999988</v>
      </c>
      <c r="R50" s="75">
        <v>20176.820000000007</v>
      </c>
      <c r="S50" s="75">
        <v>0</v>
      </c>
      <c r="T50" s="20">
        <v>22109.659999999996</v>
      </c>
      <c r="U50" s="10">
        <v>24358.960000000003</v>
      </c>
      <c r="V50" s="12">
        <v>15364.340000000006</v>
      </c>
      <c r="W50" s="79">
        <v>25068.440000000017</v>
      </c>
      <c r="X50" s="80">
        <v>24358.09999999998</v>
      </c>
      <c r="Y50" s="41">
        <v>20611.560000000016</v>
      </c>
      <c r="Z50" s="75">
        <v>21360.180000000011</v>
      </c>
      <c r="AA50" s="75">
        <v>23569.480000000018</v>
      </c>
      <c r="AB50" s="80">
        <v>19861.220000000008</v>
      </c>
      <c r="AC50" s="75">
        <v>15325.199999999993</v>
      </c>
      <c r="AD50" s="80">
        <v>18737</v>
      </c>
      <c r="AE50" s="75">
        <v>15739.079999999998</v>
      </c>
      <c r="AF50" s="16">
        <v>21086.300000000007</v>
      </c>
      <c r="AG50" s="75">
        <v>24732.840000000004</v>
      </c>
      <c r="AH50" s="23">
        <f>SUM(C50:AG50)</f>
        <v>420180.37000000017</v>
      </c>
    </row>
    <row r="51" spans="1:34" x14ac:dyDescent="0.35">
      <c r="A51" s="50"/>
      <c r="B51" s="8" t="s">
        <v>61</v>
      </c>
      <c r="C51" s="75">
        <v>953.33333333333337</v>
      </c>
      <c r="D51" s="75">
        <v>1031.25</v>
      </c>
      <c r="E51" s="26">
        <v>1024.8</v>
      </c>
      <c r="F51" s="75">
        <v>0</v>
      </c>
      <c r="G51" s="75">
        <v>0</v>
      </c>
      <c r="H51" s="75">
        <v>0</v>
      </c>
      <c r="I51" s="75">
        <v>0</v>
      </c>
      <c r="J51" s="75">
        <v>270</v>
      </c>
      <c r="K51" s="75">
        <v>540</v>
      </c>
      <c r="L51" s="75">
        <v>592.79999999999995</v>
      </c>
      <c r="M51" s="75">
        <v>428.00000000000006</v>
      </c>
      <c r="N51" s="75">
        <v>1067.625</v>
      </c>
      <c r="O51" s="75">
        <v>1108.3333333333335</v>
      </c>
      <c r="P51" s="75">
        <v>1150</v>
      </c>
      <c r="Q51" s="26">
        <v>1411.833333333333</v>
      </c>
      <c r="R51" s="75">
        <v>1624.0000000000002</v>
      </c>
      <c r="S51" s="75">
        <v>0</v>
      </c>
      <c r="T51" s="27">
        <v>1813.166666666667</v>
      </c>
      <c r="U51" s="75">
        <v>1786.3333333333335</v>
      </c>
      <c r="V51" s="104">
        <v>1110</v>
      </c>
      <c r="W51" s="79">
        <v>1713.7166666666669</v>
      </c>
      <c r="X51" s="80">
        <v>1707.3333333333333</v>
      </c>
      <c r="Y51" s="41">
        <v>1746.5000000000005</v>
      </c>
      <c r="Z51" s="75">
        <v>1723.3333333333335</v>
      </c>
      <c r="AA51" s="75">
        <v>1892</v>
      </c>
      <c r="AB51" s="80">
        <v>1763.2</v>
      </c>
      <c r="AC51" s="75">
        <v>1226.6666666666667</v>
      </c>
      <c r="AD51" s="80">
        <v>1512</v>
      </c>
      <c r="AE51" s="75">
        <v>1239</v>
      </c>
      <c r="AF51" s="16">
        <v>1813.0333333333335</v>
      </c>
      <c r="AG51" s="75">
        <v>2175.4749999999999</v>
      </c>
      <c r="AH51" s="23">
        <f>SUM(C51:AG51)</f>
        <v>34423.73333333333</v>
      </c>
    </row>
    <row r="52" spans="1:34" ht="15.5" x14ac:dyDescent="0.35">
      <c r="A52" s="50"/>
      <c r="B52" s="8" t="s">
        <v>62</v>
      </c>
      <c r="C52" s="41">
        <v>11.006349650349659</v>
      </c>
      <c r="D52" s="41">
        <v>11.207563636363643</v>
      </c>
      <c r="E52" s="99">
        <v>10.238797814207659</v>
      </c>
      <c r="F52" s="41">
        <v>0</v>
      </c>
      <c r="G52" s="41">
        <v>0</v>
      </c>
      <c r="H52" s="41" t="e">
        <v>#DIV/0!</v>
      </c>
      <c r="I52" s="41" t="e">
        <v>#DIV/0!</v>
      </c>
      <c r="J52" s="41">
        <v>11.103407407407294</v>
      </c>
      <c r="K52" s="41">
        <v>11.253148148148137</v>
      </c>
      <c r="L52" s="41">
        <v>11.378744939271238</v>
      </c>
      <c r="M52" s="41">
        <v>11.431028037383218</v>
      </c>
      <c r="N52" s="41">
        <v>11.40761035007611</v>
      </c>
      <c r="O52" s="41">
        <v>10.428090225563913</v>
      </c>
      <c r="P52" s="41">
        <v>12.056852173913047</v>
      </c>
      <c r="Q52" s="99">
        <v>11.944256876401836</v>
      </c>
      <c r="R52" s="89">
        <v>12.424150246305421</v>
      </c>
      <c r="S52" s="89">
        <v>0</v>
      </c>
      <c r="T52" s="107">
        <v>12.193947973159293</v>
      </c>
      <c r="U52" s="89">
        <v>13.636290352677738</v>
      </c>
      <c r="V52" s="108">
        <v>13.841747747747753</v>
      </c>
      <c r="W52" s="110">
        <v>14.62811238730635</v>
      </c>
      <c r="X52" s="80">
        <v>14.266751269035522</v>
      </c>
      <c r="Y52" s="41">
        <v>11.801637560835964</v>
      </c>
      <c r="Z52" s="41">
        <v>12.394688588007742</v>
      </c>
      <c r="AA52" s="41">
        <v>12.457441860465126</v>
      </c>
      <c r="AB52" s="48">
        <v>11.264303539019968</v>
      </c>
      <c r="AC52" s="41">
        <v>12.493369565217385</v>
      </c>
      <c r="AD52" s="48">
        <v>12.392195767195767</v>
      </c>
      <c r="AE52" s="41">
        <v>12.703050847457625</v>
      </c>
      <c r="AF52" s="16">
        <v>11.630398411501906</v>
      </c>
      <c r="AG52" s="41">
        <v>11.368937818177642</v>
      </c>
      <c r="AH52" s="95">
        <f>+AH50/AH51</f>
        <v>12.206124359937723</v>
      </c>
    </row>
    <row r="53" spans="1:34" x14ac:dyDescent="0.35">
      <c r="A53" s="50"/>
      <c r="B53" s="8" t="s">
        <v>63</v>
      </c>
      <c r="C53" s="75">
        <v>5107.1899999999941</v>
      </c>
      <c r="D53" s="75">
        <v>19500.179999999997</v>
      </c>
      <c r="E53" s="10">
        <v>24440.73000000001</v>
      </c>
      <c r="F53" s="75">
        <v>0</v>
      </c>
      <c r="G53" s="75"/>
      <c r="H53" s="75"/>
      <c r="I53" s="75"/>
      <c r="J53" s="75">
        <v>5571.480000000005</v>
      </c>
      <c r="K53" s="75">
        <v>12591.299999999997</v>
      </c>
      <c r="L53" s="75">
        <v>4178.6100000000033</v>
      </c>
      <c r="M53" s="75">
        <v>4642.8999999999942</v>
      </c>
      <c r="N53" s="75">
        <v>4642.8999999999942</v>
      </c>
      <c r="O53" s="11">
        <v>17643.020000000004</v>
      </c>
      <c r="P53" s="75">
        <v>29370.029999999992</v>
      </c>
      <c r="Q53" s="10">
        <v>31571.720000000008</v>
      </c>
      <c r="R53" s="75">
        <v>20082.839999999997</v>
      </c>
      <c r="S53" s="75">
        <v>0</v>
      </c>
      <c r="T53" s="20">
        <v>25071.66</v>
      </c>
      <c r="U53" s="75">
        <v>19500.180000000008</v>
      </c>
      <c r="V53" s="12">
        <v>3250.0299999999925</v>
      </c>
      <c r="W53" s="79">
        <v>23678.78999999999</v>
      </c>
      <c r="X53" s="80">
        <v>39928.939999999995</v>
      </c>
      <c r="Y53" s="75">
        <v>37234.380000000005</v>
      </c>
      <c r="Z53" s="75">
        <v>21619.039999999994</v>
      </c>
      <c r="AA53" s="75">
        <v>32291.48</v>
      </c>
      <c r="AB53" s="80">
        <v>39928.94</v>
      </c>
      <c r="AC53" s="75">
        <v>40459.880000000005</v>
      </c>
      <c r="AD53" s="80">
        <v>30178.849999999995</v>
      </c>
      <c r="AE53" s="75">
        <v>39464.65</v>
      </c>
      <c r="AF53" s="16">
        <v>32118.369999999992</v>
      </c>
      <c r="AG53" s="75">
        <v>28418.37000000001</v>
      </c>
      <c r="AH53" s="23">
        <f>SUM(C53:AG53)</f>
        <v>592486.45999999985</v>
      </c>
    </row>
    <row r="54" spans="1:34" x14ac:dyDescent="0.35">
      <c r="A54" s="50"/>
      <c r="B54" s="8" t="s">
        <v>64</v>
      </c>
      <c r="C54" s="75">
        <v>450</v>
      </c>
      <c r="D54" s="75">
        <v>1736.9599999999998</v>
      </c>
      <c r="E54" s="26">
        <v>2436</v>
      </c>
      <c r="F54" s="75">
        <v>0</v>
      </c>
      <c r="G54" s="75">
        <v>0</v>
      </c>
      <c r="H54" s="75">
        <v>0</v>
      </c>
      <c r="I54" s="75">
        <v>0</v>
      </c>
      <c r="J54" s="75">
        <v>495</v>
      </c>
      <c r="K54" s="75">
        <v>1108.8000000000002</v>
      </c>
      <c r="L54" s="75">
        <v>368</v>
      </c>
      <c r="M54" s="75">
        <v>404</v>
      </c>
      <c r="N54" s="75">
        <v>0</v>
      </c>
      <c r="O54" s="75">
        <v>1702.75</v>
      </c>
      <c r="P54" s="75">
        <v>2295.8333333333335</v>
      </c>
      <c r="Q54" s="26">
        <v>2677.5</v>
      </c>
      <c r="R54" s="75">
        <v>1643.5</v>
      </c>
      <c r="S54" s="75">
        <v>0</v>
      </c>
      <c r="T54" s="27">
        <v>1958</v>
      </c>
      <c r="U54" s="75">
        <v>1476.3333333333335</v>
      </c>
      <c r="V54" s="104">
        <v>234</v>
      </c>
      <c r="W54" s="79">
        <v>1849.9166666666667</v>
      </c>
      <c r="X54" s="80">
        <v>2691.7333333333331</v>
      </c>
      <c r="Y54" s="75">
        <v>3269.1749999999997</v>
      </c>
      <c r="Z54" s="75">
        <v>1899.3333333333335</v>
      </c>
      <c r="AA54" s="75">
        <v>2714</v>
      </c>
      <c r="AB54" s="80">
        <v>3276</v>
      </c>
      <c r="AC54" s="75">
        <v>3122.2000000000003</v>
      </c>
      <c r="AD54" s="80">
        <v>2423.75</v>
      </c>
      <c r="AE54" s="75">
        <v>3090.2083333333335</v>
      </c>
      <c r="AF54" s="16">
        <v>2750.416666666667</v>
      </c>
      <c r="AG54" s="75">
        <v>2542</v>
      </c>
      <c r="AH54" s="23">
        <f>SUM(C54:AG54)</f>
        <v>48615.409999999996</v>
      </c>
    </row>
    <row r="55" spans="1:34" ht="15.5" x14ac:dyDescent="0.35">
      <c r="A55" s="50"/>
      <c r="B55" s="8" t="s">
        <v>65</v>
      </c>
      <c r="C55" s="48">
        <v>11.349311111111097</v>
      </c>
      <c r="D55" s="48">
        <v>11.226614314664701</v>
      </c>
      <c r="E55" s="41">
        <v>10.033140394088674</v>
      </c>
      <c r="F55" s="48">
        <v>0</v>
      </c>
      <c r="G55" s="48">
        <v>0</v>
      </c>
      <c r="H55" s="48" t="e">
        <v>#DIV/0!</v>
      </c>
      <c r="I55" s="48" t="e">
        <v>#DIV/0!</v>
      </c>
      <c r="J55" s="48">
        <v>11.255515151515162</v>
      </c>
      <c r="K55" s="48">
        <v>11.355790043290039</v>
      </c>
      <c r="L55" s="48">
        <v>11.354918478260879</v>
      </c>
      <c r="M55" s="48">
        <v>11.492326732673252</v>
      </c>
      <c r="N55" s="48" t="e">
        <v>#DIV/0!</v>
      </c>
      <c r="O55" s="48">
        <v>10.361485831742771</v>
      </c>
      <c r="P55" s="48">
        <v>12.792753539019959</v>
      </c>
      <c r="Q55" s="41">
        <v>11.791492063492067</v>
      </c>
      <c r="R55" s="48">
        <v>12.219555825981136</v>
      </c>
      <c r="S55" s="48">
        <v>0</v>
      </c>
      <c r="T55" s="107">
        <v>12.804729315628192</v>
      </c>
      <c r="U55" s="41">
        <v>13.208521110860243</v>
      </c>
      <c r="V55" s="108">
        <v>13.889017094017062</v>
      </c>
      <c r="W55" s="52">
        <v>12.799922519032384</v>
      </c>
      <c r="X55" s="48">
        <v>14.833913711115514</v>
      </c>
      <c r="Y55" s="89">
        <v>11.389534056757441</v>
      </c>
      <c r="Z55" s="89">
        <v>11.382435942435938</v>
      </c>
      <c r="AA55" s="89">
        <v>11.898113485630066</v>
      </c>
      <c r="AB55" s="111">
        <v>12.188321123321124</v>
      </c>
      <c r="AC55" s="89">
        <v>12.958772660303632</v>
      </c>
      <c r="AD55" s="111">
        <v>12.451304796286744</v>
      </c>
      <c r="AE55" s="89">
        <v>12.770870356637227</v>
      </c>
      <c r="AF55" s="16">
        <v>11.677637933646412</v>
      </c>
      <c r="AG55" s="89">
        <v>11.179531864673489</v>
      </c>
      <c r="AH55" s="95">
        <f>+AH53/AH54</f>
        <v>12.187215123764252</v>
      </c>
    </row>
    <row r="56" spans="1:34" x14ac:dyDescent="0.35">
      <c r="A56" s="50"/>
      <c r="B56" s="8" t="s">
        <v>66</v>
      </c>
      <c r="C56" s="10">
        <v>108318.33471534654</v>
      </c>
      <c r="D56" s="10">
        <v>111363.48957094997</v>
      </c>
      <c r="E56" s="26">
        <v>102276.70595021253</v>
      </c>
      <c r="F56" s="10">
        <v>97090.478134110788</v>
      </c>
      <c r="G56" s="10">
        <v>107451.28708050774</v>
      </c>
      <c r="H56" s="10">
        <v>106145.38180076628</v>
      </c>
      <c r="I56" s="10">
        <v>114057.64175758482</v>
      </c>
      <c r="J56" s="10">
        <v>104175.00453920216</v>
      </c>
      <c r="K56" s="10">
        <v>114813.61708269654</v>
      </c>
      <c r="L56" s="10">
        <v>117347.56687374381</v>
      </c>
      <c r="M56" s="10">
        <v>122817.8646419198</v>
      </c>
      <c r="N56" s="10">
        <v>128036.82649545884</v>
      </c>
      <c r="O56" s="10">
        <v>108334.8180912036</v>
      </c>
      <c r="P56" s="10">
        <v>129954.02465871356</v>
      </c>
      <c r="Q56" s="26">
        <v>126160.71432138843</v>
      </c>
      <c r="R56" s="10">
        <v>128448.16917510856</v>
      </c>
      <c r="S56" s="10">
        <v>110126.64934396707</v>
      </c>
      <c r="T56" s="27">
        <v>136375.67066666667</v>
      </c>
      <c r="U56" s="10">
        <v>141350.43760177647</v>
      </c>
      <c r="V56" s="104">
        <v>148335.84412543269</v>
      </c>
      <c r="W56" s="21">
        <v>142630.77060118312</v>
      </c>
      <c r="X56" s="22">
        <v>152430.04849091687</v>
      </c>
      <c r="Y56" s="10">
        <v>118930.02169578987</v>
      </c>
      <c r="Z56" s="10">
        <v>124448.6258576618</v>
      </c>
      <c r="AA56" s="10">
        <v>123043.24883693192</v>
      </c>
      <c r="AB56" s="22">
        <v>120779.47832087408</v>
      </c>
      <c r="AC56" s="10">
        <v>131945.90595960847</v>
      </c>
      <c r="AD56" s="22">
        <v>130709.83666666667</v>
      </c>
      <c r="AE56" s="10">
        <v>130378.60749813479</v>
      </c>
      <c r="AF56" s="16">
        <v>118839.18842030864</v>
      </c>
      <c r="AG56" s="10">
        <v>119658.29941211056</v>
      </c>
      <c r="AH56" s="23">
        <f>SUM(C56:AG56)</f>
        <v>3776774.5583869442</v>
      </c>
    </row>
    <row r="57" spans="1:34" x14ac:dyDescent="0.35">
      <c r="A57" s="50"/>
      <c r="B57" s="8" t="s">
        <v>67</v>
      </c>
      <c r="C57" s="10">
        <v>32494</v>
      </c>
      <c r="D57" s="10">
        <v>36729</v>
      </c>
      <c r="E57" s="10">
        <v>31699</v>
      </c>
      <c r="F57" s="10">
        <v>25430</v>
      </c>
      <c r="G57" s="10">
        <v>24299</v>
      </c>
      <c r="H57" s="10">
        <v>20438</v>
      </c>
      <c r="I57" s="10">
        <v>25382</v>
      </c>
      <c r="J57" s="10">
        <v>28114</v>
      </c>
      <c r="K57" s="10">
        <v>24607</v>
      </c>
      <c r="L57" s="10">
        <v>23788</v>
      </c>
      <c r="M57" s="10">
        <v>16194</v>
      </c>
      <c r="N57" s="10">
        <v>26007</v>
      </c>
      <c r="O57" s="10">
        <v>29858</v>
      </c>
      <c r="P57" s="10">
        <v>33882</v>
      </c>
      <c r="Q57" s="10">
        <v>35601</v>
      </c>
      <c r="R57" s="10">
        <v>33743</v>
      </c>
      <c r="S57" s="10">
        <v>18023</v>
      </c>
      <c r="T57" s="20">
        <v>34572</v>
      </c>
      <c r="U57" s="10">
        <v>33008</v>
      </c>
      <c r="V57" s="12">
        <v>24197</v>
      </c>
      <c r="W57" s="21">
        <v>33736</v>
      </c>
      <c r="X57" s="22">
        <v>34200</v>
      </c>
      <c r="Y57" s="10">
        <v>34564</v>
      </c>
      <c r="Z57" s="10">
        <v>32428</v>
      </c>
      <c r="AA57" s="10">
        <v>34453</v>
      </c>
      <c r="AB57" s="22">
        <v>35918</v>
      </c>
      <c r="AC57" s="10">
        <v>35823</v>
      </c>
      <c r="AD57" s="22">
        <v>36114</v>
      </c>
      <c r="AE57" s="10">
        <v>36267</v>
      </c>
      <c r="AF57" s="16">
        <v>34549</v>
      </c>
      <c r="AG57" s="10">
        <v>34834</v>
      </c>
      <c r="AH57" s="23">
        <f>SUM(C57:AG57)</f>
        <v>940951</v>
      </c>
    </row>
    <row r="58" spans="1:34" ht="15.5" x14ac:dyDescent="0.35">
      <c r="A58" s="50"/>
      <c r="B58" s="8" t="s">
        <v>68</v>
      </c>
      <c r="C58" s="41">
        <v>4.0215346534653467</v>
      </c>
      <c r="D58" s="41">
        <v>3.9694153247595376</v>
      </c>
      <c r="E58" s="99">
        <v>3.85</v>
      </c>
      <c r="F58" s="41">
        <v>3.9021021942611629</v>
      </c>
      <c r="G58" s="41">
        <v>4.2251782298730651</v>
      </c>
      <c r="H58" s="41">
        <v>3.9153256704980843</v>
      </c>
      <c r="I58" s="41">
        <v>3.7934538932894935</v>
      </c>
      <c r="J58" s="41">
        <v>3.8671251719394775</v>
      </c>
      <c r="K58" s="41">
        <v>4.1784683307862114</v>
      </c>
      <c r="L58" s="41">
        <v>4.3464279188744745</v>
      </c>
      <c r="M58" s="41">
        <v>6.071991001124859</v>
      </c>
      <c r="N58" s="41">
        <v>4.0725023488881931</v>
      </c>
      <c r="O58" s="41">
        <v>3.7201594816845254</v>
      </c>
      <c r="P58" s="41">
        <v>4.1670151272906164</v>
      </c>
      <c r="Q58" s="99">
        <v>4.4451242352353599</v>
      </c>
      <c r="R58" s="41">
        <v>4.8832127351664258</v>
      </c>
      <c r="S58" s="41">
        <v>4.6367378440957037</v>
      </c>
      <c r="T58" s="107">
        <v>4.6096000000000004</v>
      </c>
      <c r="U58" s="41">
        <v>4.8864544781643229</v>
      </c>
      <c r="V58" s="108">
        <v>4.9271024231317453</v>
      </c>
      <c r="W58" s="52">
        <v>4.6410785527582883</v>
      </c>
      <c r="X58" s="48">
        <v>4.8920040051494782</v>
      </c>
      <c r="Y58" s="41">
        <v>4.0534771901020292</v>
      </c>
      <c r="Z58" s="41">
        <v>4.3627068478407107</v>
      </c>
      <c r="AA58" s="41">
        <v>4.1098652033878089</v>
      </c>
      <c r="AB58" s="48">
        <v>4.1308798159861988</v>
      </c>
      <c r="AC58" s="41">
        <v>4.4384834592987241</v>
      </c>
      <c r="AD58" s="48">
        <v>4.9134693877551019</v>
      </c>
      <c r="AE58" s="41">
        <v>4.509699079830888</v>
      </c>
      <c r="AF58" s="16">
        <v>4.0698551066085527</v>
      </c>
      <c r="AG58" s="41">
        <v>4.0957084068195178</v>
      </c>
      <c r="AH58" s="95">
        <f>AH57/AH31</f>
        <v>4.2903892100895513</v>
      </c>
    </row>
    <row r="59" spans="1:34" x14ac:dyDescent="0.35">
      <c r="A59" s="50" t="s">
        <v>12</v>
      </c>
      <c r="B59" s="112" t="s">
        <v>69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10">
        <v>0</v>
      </c>
      <c r="Q59" s="10">
        <v>0</v>
      </c>
      <c r="R59" s="10">
        <v>0</v>
      </c>
      <c r="S59" s="10">
        <v>0</v>
      </c>
      <c r="T59" s="20">
        <v>0</v>
      </c>
      <c r="U59" s="10">
        <v>0</v>
      </c>
      <c r="V59" s="12">
        <v>0</v>
      </c>
      <c r="W59" s="21">
        <v>0</v>
      </c>
      <c r="X59" s="22">
        <v>0</v>
      </c>
      <c r="Y59" s="10">
        <v>0</v>
      </c>
      <c r="Z59" s="10">
        <v>0</v>
      </c>
      <c r="AA59" s="10">
        <v>0</v>
      </c>
      <c r="AB59" s="22">
        <v>0</v>
      </c>
      <c r="AC59" s="10">
        <v>0</v>
      </c>
      <c r="AD59" s="80">
        <v>0</v>
      </c>
      <c r="AE59" s="10">
        <v>0</v>
      </c>
      <c r="AF59" s="16">
        <v>0</v>
      </c>
      <c r="AG59" s="10">
        <v>0</v>
      </c>
      <c r="AH59" s="113">
        <f>SUM(C59:AG59)</f>
        <v>0</v>
      </c>
    </row>
    <row r="60" spans="1:34" x14ac:dyDescent="0.35">
      <c r="A60" s="50"/>
      <c r="B60" s="112" t="s">
        <v>70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75">
        <v>0</v>
      </c>
      <c r="L60" s="75">
        <v>0</v>
      </c>
      <c r="M60" s="75">
        <v>0</v>
      </c>
      <c r="N60" s="75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20">
        <v>0</v>
      </c>
      <c r="U60" s="10">
        <v>0</v>
      </c>
      <c r="V60" s="16">
        <v>0</v>
      </c>
      <c r="W60" s="21">
        <v>0</v>
      </c>
      <c r="X60" s="15">
        <v>0</v>
      </c>
      <c r="Y60" s="10">
        <v>0</v>
      </c>
      <c r="Z60" s="10">
        <v>0</v>
      </c>
      <c r="AA60" s="10">
        <v>0</v>
      </c>
      <c r="AB60" s="22">
        <v>0</v>
      </c>
      <c r="AC60" s="10">
        <v>0</v>
      </c>
      <c r="AD60" s="80">
        <v>0</v>
      </c>
      <c r="AE60" s="10">
        <v>0</v>
      </c>
      <c r="AF60" s="16">
        <v>0</v>
      </c>
      <c r="AG60" s="10">
        <v>0</v>
      </c>
      <c r="AH60" s="113">
        <f>(0.84*AH6)-AH59</f>
        <v>220249.68</v>
      </c>
    </row>
  </sheetData>
  <mergeCells count="6">
    <mergeCell ref="AH2:AH3"/>
    <mergeCell ref="A6:A15"/>
    <mergeCell ref="A16:A20"/>
    <mergeCell ref="A22:A34"/>
    <mergeCell ref="A35:A58"/>
    <mergeCell ref="A59:A60"/>
  </mergeCells>
  <conditionalFormatting sqref="C2:AG2">
    <cfRule type="expression" dxfId="0" priority="1">
      <formula>OR(+C$6="dim")</formula>
    </cfRule>
  </conditionalFormatting>
  <dataValidations count="1">
    <dataValidation type="list" showInputMessage="1" showErrorMessage="1" sqref="AF3 V3 Q3 T3">
      <formula1>"G10 MC,G10 MP,MC&amp;MP,TBT,BG10,BG11,BGAD,BG22, ,Arrêt,MC&amp;BG22:"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2026-07-09T10:16:46Z</dcterms:created>
  <dcterms:modified xsi:type="dcterms:W3CDTF">2026-07-09T10:29:39Z</dcterms:modified>
</cp:coreProperties>
</file>