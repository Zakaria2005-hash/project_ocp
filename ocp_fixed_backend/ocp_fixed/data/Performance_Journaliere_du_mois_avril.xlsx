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81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62" i="1" l="1"/>
  <c r="AG60" i="1"/>
  <c r="AG59" i="1"/>
  <c r="AG57" i="1"/>
  <c r="AG56" i="1"/>
  <c r="AG58" i="1" s="1"/>
  <c r="AG54" i="1"/>
  <c r="AG53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25" i="1" s="1"/>
  <c r="AG39" i="1"/>
  <c r="AG38" i="1"/>
  <c r="AG23" i="1" s="1"/>
  <c r="AG37" i="1"/>
  <c r="AG36" i="1"/>
  <c r="AG35" i="1"/>
  <c r="AG34" i="1"/>
  <c r="AG32" i="1"/>
  <c r="AG31" i="1"/>
  <c r="AG22" i="1" s="1"/>
  <c r="AG30" i="1"/>
  <c r="AG29" i="1"/>
  <c r="AG28" i="1"/>
  <c r="AG27" i="1"/>
  <c r="AG26" i="1"/>
  <c r="AG21" i="1"/>
  <c r="AG20" i="1"/>
  <c r="AG19" i="1"/>
  <c r="AG18" i="1"/>
  <c r="AG17" i="1"/>
  <c r="AG16" i="1"/>
  <c r="AG15" i="1"/>
  <c r="AG13" i="1"/>
  <c r="AG14" i="1" s="1"/>
  <c r="AG11" i="1"/>
  <c r="AG10" i="1"/>
  <c r="AG9" i="1"/>
  <c r="AG8" i="1"/>
  <c r="AG7" i="1"/>
  <c r="AG6" i="1"/>
  <c r="AG5" i="1"/>
  <c r="AG4" i="1"/>
  <c r="D2" i="1"/>
  <c r="AG55" i="1" l="1"/>
  <c r="AG12" i="1"/>
  <c r="AG63" i="1"/>
  <c r="AG24" i="1"/>
  <c r="AG52" i="1"/>
  <c r="AG61" i="1"/>
  <c r="E2" i="1"/>
  <c r="F2" i="1" l="1"/>
  <c r="G2" i="1" l="1"/>
  <c r="H2" i="1" l="1"/>
  <c r="I2" i="1" l="1"/>
  <c r="J2" i="1" l="1"/>
  <c r="K2" i="1" l="1"/>
  <c r="L2" i="1" l="1"/>
  <c r="M2" i="1" l="1"/>
  <c r="N2" i="1" l="1"/>
  <c r="O2" i="1" l="1"/>
  <c r="P2" i="1" l="1"/>
  <c r="Q2" i="1" l="1"/>
  <c r="R2" i="1" l="1"/>
  <c r="S2" i="1" l="1"/>
  <c r="T2" i="1" l="1"/>
  <c r="U2" i="1" l="1"/>
  <c r="V2" i="1" l="1"/>
  <c r="W2" i="1" l="1"/>
  <c r="X2" i="1" l="1"/>
  <c r="Y2" i="1" l="1"/>
  <c r="Z2" i="1" l="1"/>
  <c r="AA2" i="1" l="1"/>
  <c r="AB2" i="1" l="1"/>
  <c r="AC2" i="1" l="1"/>
  <c r="AD2" i="1" l="1"/>
  <c r="AE2" i="1" l="1"/>
  <c r="AF2" i="1" l="1"/>
</calcChain>
</file>

<file path=xl/sharedStrings.xml><?xml version="1.0" encoding="utf-8"?>
<sst xmlns="http://schemas.openxmlformats.org/spreadsheetml/2006/main" count="132" uniqueCount="89">
  <si>
    <t>TOTAL</t>
  </si>
  <si>
    <t>Qualité</t>
  </si>
  <si>
    <t>Qualité traitée</t>
  </si>
  <si>
    <t>MC</t>
  </si>
  <si>
    <t>MC/BG10</t>
  </si>
  <si>
    <t>MC/MP</t>
  </si>
  <si>
    <t>MC/MP/BG10</t>
  </si>
  <si>
    <t>MC/BG22</t>
  </si>
  <si>
    <t>MC/BG22/MP</t>
  </si>
  <si>
    <t>MC/MP/BG22</t>
  </si>
  <si>
    <t>MC/MP/MC Low cd</t>
  </si>
  <si>
    <t>MC Low cd</t>
  </si>
  <si>
    <t xml:space="preserve">MC </t>
  </si>
  <si>
    <t>MP/MC Low cd</t>
  </si>
  <si>
    <t>MC /low cd</t>
  </si>
  <si>
    <t>Produit G10</t>
  </si>
  <si>
    <t>Alimentation par camions (T)</t>
  </si>
  <si>
    <t>stock LF</t>
  </si>
  <si>
    <t>quantité d'eau drainage(m3)</t>
  </si>
  <si>
    <t>Roue pelle TAIM</t>
  </si>
  <si>
    <t>Tonnage G10 + BG10 (T)</t>
  </si>
  <si>
    <t>Tonnage G10 (T)</t>
  </si>
  <si>
    <t>Tonnage BG10 (T)</t>
  </si>
  <si>
    <t>Débit horaire (T/H)</t>
  </si>
  <si>
    <t>Alimentation par chargeuse</t>
  </si>
  <si>
    <t>G10 (T)</t>
  </si>
  <si>
    <t>% G10 Chargeuse</t>
  </si>
  <si>
    <t xml:space="preserve"> BT (T)</t>
  </si>
  <si>
    <t>% BT Chargeuse</t>
  </si>
  <si>
    <t>HM</t>
  </si>
  <si>
    <t>19.82</t>
  </si>
  <si>
    <t>Liaison US-UC</t>
  </si>
  <si>
    <t>Tonnage transporté (T)</t>
  </si>
  <si>
    <t>Tonnage transporté G10 (T)</t>
  </si>
  <si>
    <t>Tonnage transporté MT (T)</t>
  </si>
  <si>
    <t>19.16</t>
  </si>
  <si>
    <t>Débit (T/H)</t>
  </si>
  <si>
    <t>Stockage Local  (T)</t>
  </si>
  <si>
    <t>Production</t>
  </si>
  <si>
    <t>Débit horaire par four (T/H)</t>
  </si>
  <si>
    <t>Débit horaire par four  en MC(T/H)</t>
  </si>
  <si>
    <t>Débit horaire par four en MP (T/H)</t>
  </si>
  <si>
    <t>Débit horaire par four en BG10 (T/H)</t>
  </si>
  <si>
    <t>Tonnage dosage</t>
  </si>
  <si>
    <t>Humidité entrée %</t>
  </si>
  <si>
    <t>15.69%</t>
  </si>
  <si>
    <t>Humidité sortie MC %</t>
  </si>
  <si>
    <t>Humidité sortie MP %</t>
  </si>
  <si>
    <t>Humidité sortie BG10 %</t>
  </si>
  <si>
    <t>Production totale</t>
  </si>
  <si>
    <t>Production MC</t>
  </si>
  <si>
    <t>Production MP</t>
  </si>
  <si>
    <t>Production BG10</t>
  </si>
  <si>
    <t>Production BG22</t>
  </si>
  <si>
    <t>Performance</t>
  </si>
  <si>
    <t>HM en MC</t>
  </si>
  <si>
    <t>HM en MP</t>
  </si>
  <si>
    <t>HM en BG10</t>
  </si>
  <si>
    <t>HM en BG22</t>
  </si>
  <si>
    <t>HM Four N°1</t>
  </si>
  <si>
    <t>HM Four N°2</t>
  </si>
  <si>
    <t>HM Four N°3</t>
  </si>
  <si>
    <t>HM Four N°4</t>
  </si>
  <si>
    <t>HM Four N°5</t>
  </si>
  <si>
    <t>HM Four N°6</t>
  </si>
  <si>
    <t>HM Four N°7</t>
  </si>
  <si>
    <t>HM Four N°8</t>
  </si>
  <si>
    <t>Consommation GAZ (Nm3)</t>
  </si>
  <si>
    <t>Tonnage traité gaz</t>
  </si>
  <si>
    <t>Cs Gas (Nm3/T)</t>
  </si>
  <si>
    <t>Consommation gazoline (kg)</t>
  </si>
  <si>
    <t>Tonnage traité gazoline</t>
  </si>
  <si>
    <t>Cs gazoline (kg/T)</t>
  </si>
  <si>
    <t>Consommation Fuel (kg)</t>
  </si>
  <si>
    <t>Tonnage traité fuel</t>
  </si>
  <si>
    <t>Cs Fuel (kg/T)</t>
  </si>
  <si>
    <t xml:space="preserve">Consommation d'énergie (kcal/T) </t>
  </si>
  <si>
    <t>Consommation Electricité (kwh)</t>
  </si>
  <si>
    <t>Cs électricité (Kwh/T)</t>
  </si>
  <si>
    <t>Production UL</t>
  </si>
  <si>
    <t>Ecart  reprise RP3 production UL</t>
  </si>
  <si>
    <t>mar.</t>
  </si>
  <si>
    <t>mer.</t>
  </si>
  <si>
    <t>jeu.</t>
  </si>
  <si>
    <t>ven.</t>
  </si>
  <si>
    <t>sam.</t>
  </si>
  <si>
    <t>dim.</t>
  </si>
  <si>
    <t>lun.</t>
  </si>
  <si>
    <t>jeu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</si>
</sst>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5" formatCode="0.0"/>
    <numFmt numFmtId="166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Times New Roman"/>
      <family val="1"/>
    </font>
    <font>
      <b/>
      <sz val="9"/>
      <color theme="1"/>
      <name val="Calibri"/>
      <family val="2"/>
      <scheme val="minor"/>
    </font>
    <font>
      <b/>
      <sz val="9"/>
      <color rgb="FF0070C0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4" fontId="0" fillId="2" borderId="1" xfId="0" applyNumberFormat="1" applyFill="1" applyBorder="1" applyAlignment="1">
      <alignment horizontal="center"/>
    </xf>
    <xf numFmtId="1" fontId="4" fillId="3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Protection="1">
      <protection locked="0"/>
    </xf>
    <xf numFmtId="1" fontId="2" fillId="0" borderId="1" xfId="0" applyNumberFormat="1" applyFont="1" applyBorder="1" applyAlignment="1">
      <alignment horizontal="center"/>
    </xf>
    <xf numFmtId="1" fontId="0" fillId="4" borderId="1" xfId="0" applyNumberForma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" fontId="2" fillId="4" borderId="3" xfId="0" applyNumberFormat="1" applyFont="1" applyFill="1" applyBorder="1" applyAlignment="1" applyProtection="1">
      <alignment horizontal="center"/>
      <protection locked="0"/>
    </xf>
    <xf numFmtId="1" fontId="0" fillId="4" borderId="3" xfId="0" applyNumberFormat="1" applyFill="1" applyBorder="1" applyAlignment="1" applyProtection="1">
      <alignment horizontal="right"/>
      <protection locked="0"/>
    </xf>
    <xf numFmtId="1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center"/>
    </xf>
    <xf numFmtId="1" fontId="2" fillId="4" borderId="1" xfId="0" applyNumberFormat="1" applyFont="1" applyFill="1" applyBorder="1" applyAlignment="1" applyProtection="1">
      <alignment horizontal="center"/>
      <protection locked="0"/>
    </xf>
    <xf numFmtId="1" fontId="2" fillId="4" borderId="1" xfId="0" applyNumberFormat="1" applyFont="1" applyFill="1" applyBorder="1" applyAlignment="1" applyProtection="1">
      <alignment horizontal="center" vertical="center"/>
      <protection locked="0"/>
    </xf>
    <xf numFmtId="1" fontId="4" fillId="3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" fontId="0" fillId="4" borderId="1" xfId="0" applyNumberFormat="1" applyFill="1" applyBorder="1" applyProtection="1">
      <protection locked="0"/>
    </xf>
    <xf numFmtId="1" fontId="0" fillId="4" borderId="1" xfId="0" applyNumberFormat="1" applyFill="1" applyBorder="1" applyAlignment="1" applyProtection="1">
      <alignment horizontal="center" vertical="top"/>
      <protection locked="0"/>
    </xf>
    <xf numFmtId="1" fontId="0" fillId="4" borderId="1" xfId="0" applyNumberFormat="1" applyFill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1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/>
    <xf numFmtId="1" fontId="2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9" fontId="2" fillId="0" borderId="1" xfId="0" applyNumberFormat="1" applyFont="1" applyBorder="1" applyAlignment="1">
      <alignment horizontal="center"/>
    </xf>
    <xf numFmtId="9" fontId="0" fillId="4" borderId="1" xfId="0" applyNumberFormat="1" applyFill="1" applyBorder="1" applyAlignment="1" applyProtection="1">
      <alignment horizontal="center"/>
      <protection locked="0"/>
    </xf>
    <xf numFmtId="9" fontId="0" fillId="4" borderId="1" xfId="0" applyNumberFormat="1" applyFill="1" applyBorder="1" applyAlignment="1" applyProtection="1">
      <alignment horizontal="right"/>
      <protection locked="0"/>
    </xf>
    <xf numFmtId="9" fontId="2" fillId="4" borderId="1" xfId="0" applyNumberFormat="1" applyFont="1" applyFill="1" applyBorder="1" applyAlignment="1" applyProtection="1">
      <alignment horizontal="center"/>
      <protection locked="0"/>
    </xf>
    <xf numFmtId="9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9" fontId="0" fillId="4" borderId="1" xfId="0" applyNumberFormat="1" applyFill="1" applyBorder="1" applyProtection="1"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2" fontId="0" fillId="4" borderId="1" xfId="0" applyNumberFormat="1" applyFill="1" applyBorder="1" applyAlignment="1" applyProtection="1">
      <alignment horizontal="center"/>
      <protection locked="0"/>
    </xf>
    <xf numFmtId="43" fontId="2" fillId="0" borderId="1" xfId="1" applyFont="1" applyBorder="1" applyAlignment="1">
      <alignment horizontal="center"/>
    </xf>
    <xf numFmtId="165" fontId="0" fillId="4" borderId="1" xfId="0" applyNumberFormat="1" applyFill="1" applyBorder="1" applyAlignment="1" applyProtection="1">
      <alignment horizontal="center"/>
      <protection locked="0"/>
    </xf>
    <xf numFmtId="2" fontId="0" fillId="4" borderId="1" xfId="0" applyNumberFormat="1" applyFill="1" applyBorder="1" applyProtection="1">
      <protection locked="0"/>
    </xf>
    <xf numFmtId="2" fontId="2" fillId="4" borderId="1" xfId="0" applyNumberFormat="1" applyFont="1" applyFill="1" applyBorder="1" applyAlignment="1" applyProtection="1">
      <alignment horizontal="center"/>
      <protection locked="0"/>
    </xf>
    <xf numFmtId="165" fontId="0" fillId="4" borderId="1" xfId="0" applyNumberFormat="1" applyFill="1" applyBorder="1" applyAlignment="1" applyProtection="1">
      <alignment horizontal="center" vertical="top"/>
      <protection locked="0"/>
    </xf>
    <xf numFmtId="165" fontId="0" fillId="4" borderId="1" xfId="0" applyNumberFormat="1" applyFill="1" applyBorder="1" applyAlignment="1" applyProtection="1">
      <alignment horizontal="center" vertical="center"/>
      <protection locked="0"/>
    </xf>
    <xf numFmtId="2" fontId="0" fillId="4" borderId="1" xfId="0" applyNumberFormat="1" applyFill="1" applyBorder="1" applyAlignment="1" applyProtection="1">
      <alignment horizontal="center" vertical="center"/>
      <protection locked="0"/>
    </xf>
    <xf numFmtId="165" fontId="2" fillId="4" borderId="1" xfId="0" applyNumberFormat="1" applyFon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3" fontId="6" fillId="4" borderId="1" xfId="0" applyNumberFormat="1" applyFont="1" applyFill="1" applyBorder="1" applyAlignment="1">
      <alignment horizontal="center" vertical="center"/>
    </xf>
    <xf numFmtId="0" fontId="0" fillId="2" borderId="8" xfId="0" applyFill="1" applyBorder="1" applyAlignment="1" applyProtection="1">
      <alignment horizontal="center" vertical="center"/>
      <protection locked="0"/>
    </xf>
    <xf numFmtId="43" fontId="0" fillId="4" borderId="1" xfId="1" applyFont="1" applyFill="1" applyBorder="1" applyAlignment="1" applyProtection="1">
      <alignment horizontal="right" indent="1"/>
      <protection locked="0"/>
    </xf>
    <xf numFmtId="2" fontId="0" fillId="4" borderId="1" xfId="0" applyNumberFormat="1" applyFill="1" applyBorder="1" applyAlignment="1" applyProtection="1">
      <alignment horizontal="center" vertical="top"/>
      <protection locked="0"/>
    </xf>
    <xf numFmtId="1" fontId="2" fillId="4" borderId="1" xfId="0" applyNumberFormat="1" applyFont="1" applyFill="1" applyBorder="1" applyAlignment="1">
      <alignment horizontal="center" vertical="top"/>
    </xf>
    <xf numFmtId="1" fontId="2" fillId="4" borderId="1" xfId="0" applyNumberFormat="1" applyFont="1" applyFill="1" applyBorder="1" applyAlignment="1">
      <alignment horizontal="center" vertical="center"/>
    </xf>
    <xf numFmtId="1" fontId="6" fillId="0" borderId="1" xfId="2" applyNumberFormat="1" applyFont="1" applyFill="1" applyBorder="1" applyAlignment="1" applyProtection="1">
      <alignment horizontal="center" vertical="center"/>
    </xf>
    <xf numFmtId="0" fontId="0" fillId="2" borderId="4" xfId="0" applyFill="1" applyBorder="1" applyAlignment="1" applyProtection="1">
      <alignment horizontal="center" vertical="center"/>
      <protection locked="0"/>
    </xf>
    <xf numFmtId="1" fontId="6" fillId="4" borderId="1" xfId="2" applyNumberFormat="1" applyFont="1" applyFill="1" applyBorder="1" applyAlignment="1" applyProtection="1">
      <alignment horizontal="center" vertical="center"/>
    </xf>
    <xf numFmtId="1" fontId="0" fillId="4" borderId="1" xfId="0" applyNumberFormat="1" applyFill="1" applyBorder="1" applyAlignment="1" applyProtection="1">
      <alignment horizontal="right"/>
      <protection locked="0"/>
    </xf>
    <xf numFmtId="1" fontId="7" fillId="4" borderId="3" xfId="0" applyNumberFormat="1" applyFont="1" applyFill="1" applyBorder="1" applyAlignment="1">
      <alignment horizontal="center"/>
    </xf>
    <xf numFmtId="1" fontId="0" fillId="0" borderId="0" xfId="0" applyNumberFormat="1" applyAlignment="1" applyProtection="1">
      <alignment horizontal="center" vertical="center"/>
      <protection locked="0"/>
    </xf>
    <xf numFmtId="1" fontId="0" fillId="4" borderId="3" xfId="0" applyNumberFormat="1" applyFill="1" applyBorder="1" applyAlignment="1" applyProtection="1">
      <alignment horizontal="center"/>
      <protection locked="0"/>
    </xf>
    <xf numFmtId="10" fontId="0" fillId="4" borderId="1" xfId="2" applyNumberFormat="1" applyFont="1" applyFill="1" applyBorder="1" applyAlignment="1" applyProtection="1">
      <alignment horizontal="center"/>
      <protection locked="0"/>
    </xf>
    <xf numFmtId="9" fontId="0" fillId="4" borderId="1" xfId="2" applyFont="1" applyFill="1" applyBorder="1" applyAlignment="1" applyProtection="1">
      <alignment horizontal="center"/>
      <protection locked="0"/>
    </xf>
    <xf numFmtId="10" fontId="1" fillId="4" borderId="1" xfId="2" applyNumberFormat="1" applyFont="1" applyFill="1" applyBorder="1" applyAlignment="1" applyProtection="1">
      <alignment horizontal="center"/>
      <protection locked="0"/>
    </xf>
    <xf numFmtId="10" fontId="1" fillId="4" borderId="1" xfId="2" applyNumberFormat="1" applyFont="1" applyFill="1" applyBorder="1" applyAlignment="1" applyProtection="1">
      <alignment horizontal="right"/>
      <protection locked="0"/>
    </xf>
    <xf numFmtId="10" fontId="2" fillId="4" borderId="1" xfId="2" applyNumberFormat="1" applyFont="1" applyFill="1" applyBorder="1" applyAlignment="1" applyProtection="1">
      <alignment horizontal="center"/>
      <protection locked="0"/>
    </xf>
    <xf numFmtId="10" fontId="0" fillId="4" borderId="1" xfId="2" applyNumberFormat="1" applyFont="1" applyFill="1" applyBorder="1" applyAlignment="1" applyProtection="1">
      <alignment horizontal="center" vertical="top"/>
      <protection locked="0"/>
    </xf>
    <xf numFmtId="10" fontId="0" fillId="4" borderId="1" xfId="2" applyNumberFormat="1" applyFont="1" applyFill="1" applyBorder="1" applyAlignment="1" applyProtection="1">
      <alignment horizontal="center" vertical="center"/>
      <protection locked="0"/>
    </xf>
    <xf numFmtId="166" fontId="0" fillId="4" borderId="1" xfId="2" applyNumberFormat="1" applyFont="1" applyFill="1" applyBorder="1" applyAlignment="1" applyProtection="1">
      <alignment horizontal="center"/>
      <protection locked="0"/>
    </xf>
    <xf numFmtId="10" fontId="0" fillId="4" borderId="1" xfId="0" quotePrefix="1" applyNumberFormat="1" applyFill="1" applyBorder="1" applyAlignment="1" applyProtection="1">
      <alignment horizontal="center"/>
      <protection locked="0"/>
    </xf>
    <xf numFmtId="10" fontId="0" fillId="4" borderId="1" xfId="0" quotePrefix="1" applyNumberFormat="1" applyFill="1" applyBorder="1" applyAlignment="1" applyProtection="1">
      <alignment horizontal="right"/>
      <protection locked="0"/>
    </xf>
    <xf numFmtId="10" fontId="2" fillId="4" borderId="1" xfId="0" quotePrefix="1" applyNumberFormat="1" applyFont="1" applyFill="1" applyBorder="1" applyAlignment="1" applyProtection="1">
      <alignment horizontal="center"/>
      <protection locked="0"/>
    </xf>
    <xf numFmtId="10" fontId="0" fillId="4" borderId="1" xfId="0" applyNumberFormat="1" applyFill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10" fontId="0" fillId="0" borderId="1" xfId="0" applyNumberFormat="1" applyBorder="1" applyAlignment="1" applyProtection="1">
      <alignment horizontal="center"/>
      <protection locked="0"/>
    </xf>
    <xf numFmtId="10" fontId="0" fillId="0" borderId="1" xfId="2" applyNumberFormat="1" applyFont="1" applyBorder="1" applyAlignment="1" applyProtection="1">
      <alignment horizontal="center"/>
      <protection locked="0"/>
    </xf>
    <xf numFmtId="166" fontId="0" fillId="0" borderId="1" xfId="2" applyNumberFormat="1" applyFon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 vertical="top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" fontId="7" fillId="4" borderId="1" xfId="0" applyNumberFormat="1" applyFont="1" applyFill="1" applyBorder="1" applyAlignment="1" applyProtection="1">
      <alignment horizontal="center"/>
      <protection locked="0"/>
    </xf>
    <xf numFmtId="1" fontId="0" fillId="0" borderId="1" xfId="0" applyNumberFormat="1" applyBorder="1" applyProtection="1">
      <protection locked="0"/>
    </xf>
    <xf numFmtId="1" fontId="8" fillId="0" borderId="1" xfId="0" applyNumberFormat="1" applyFont="1" applyBorder="1" applyAlignment="1">
      <alignment horizontal="center"/>
    </xf>
    <xf numFmtId="1" fontId="0" fillId="0" borderId="0" xfId="0" applyNumberFormat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" fontId="8" fillId="0" borderId="1" xfId="0" applyNumberFormat="1" applyFont="1" applyBorder="1" applyAlignment="1" applyProtection="1">
      <alignment horizontal="center"/>
      <protection locked="0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1" fontId="7" fillId="0" borderId="1" xfId="0" applyNumberFormat="1" applyFont="1" applyBorder="1" applyAlignment="1">
      <alignment horizontal="center"/>
    </xf>
    <xf numFmtId="0" fontId="0" fillId="2" borderId="1" xfId="0" applyFill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 applyProtection="1">
      <alignment horizontal="center"/>
      <protection locked="0"/>
    </xf>
    <xf numFmtId="2" fontId="9" fillId="0" borderId="1" xfId="0" applyNumberFormat="1" applyFont="1" applyBorder="1"/>
    <xf numFmtId="2" fontId="8" fillId="0" borderId="1" xfId="0" applyNumberFormat="1" applyFont="1" applyBorder="1" applyAlignment="1">
      <alignment horizontal="center"/>
    </xf>
    <xf numFmtId="2" fontId="0" fillId="0" borderId="1" xfId="0" applyNumberFormat="1" applyBorder="1" applyAlignment="1" applyProtection="1">
      <alignment horizontal="center" vertical="top"/>
      <protection locked="0"/>
    </xf>
    <xf numFmtId="4" fontId="6" fillId="0" borderId="1" xfId="0" applyNumberFormat="1" applyFont="1" applyBorder="1" applyAlignment="1">
      <alignment horizontal="center" vertical="center"/>
    </xf>
    <xf numFmtId="2" fontId="0" fillId="0" borderId="1" xfId="0" applyNumberFormat="1" applyBorder="1"/>
    <xf numFmtId="2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/>
    <xf numFmtId="2" fontId="2" fillId="4" borderId="1" xfId="0" applyNumberFormat="1" applyFont="1" applyFill="1" applyBorder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" fontId="10" fillId="4" borderId="1" xfId="0" applyNumberFormat="1" applyFont="1" applyFill="1" applyBorder="1" applyAlignment="1" applyProtection="1">
      <alignment horizontal="center"/>
      <protection locked="0"/>
    </xf>
    <xf numFmtId="1" fontId="2" fillId="4" borderId="3" xfId="0" applyNumberFormat="1" applyFont="1" applyFill="1" applyBorder="1" applyAlignment="1">
      <alignment horizontal="center"/>
    </xf>
    <xf numFmtId="1" fontId="10" fillId="4" borderId="1" xfId="0" applyNumberFormat="1" applyFont="1" applyFill="1" applyBorder="1" applyAlignment="1" applyProtection="1">
      <alignment horizontal="center" vertical="top"/>
      <protection locked="0"/>
    </xf>
    <xf numFmtId="1" fontId="10" fillId="4" borderId="1" xfId="0" applyNumberFormat="1" applyFont="1" applyFill="1" applyBorder="1" applyAlignment="1" applyProtection="1">
      <alignment horizontal="center" vertical="center"/>
      <protection locked="0"/>
    </xf>
    <xf numFmtId="2" fontId="9" fillId="4" borderId="1" xfId="0" applyNumberFormat="1" applyFont="1" applyFill="1" applyBorder="1" applyAlignment="1">
      <alignment vertical="center"/>
    </xf>
    <xf numFmtId="2" fontId="8" fillId="4" borderId="3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 applyProtection="1">
      <alignment horizontal="center" vertical="top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4" fontId="6" fillId="4" borderId="1" xfId="0" applyNumberFormat="1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3"/>
  <sheetViews>
    <sheetView tabSelected="1" zoomScale="56" workbookViewId="0">
      <selection activeCell="H6" sqref="H6"/>
    </sheetView>
  </sheetViews>
  <sheetFormatPr baseColWidth="10" defaultRowHeight="14.5" x14ac:dyDescent="0.35"/>
  <cols>
    <col min="1" max="1" width="13.90625" customWidth="1"/>
    <col min="2" max="2" width="27.90625" customWidth="1"/>
    <col min="3" max="32" width="12.6328125" customWidth="1"/>
  </cols>
  <sheetData>
    <row r="1" spans="1:33" x14ac:dyDescent="0.35">
      <c r="A1" s="1"/>
      <c r="B1" s="2"/>
      <c r="C1" s="3" t="s">
        <v>88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81</v>
      </c>
      <c r="I1" s="3" t="s">
        <v>82</v>
      </c>
      <c r="J1" s="3" t="s">
        <v>83</v>
      </c>
      <c r="K1" s="3" t="s">
        <v>84</v>
      </c>
      <c r="L1" s="3" t="s">
        <v>85</v>
      </c>
      <c r="M1" s="3" t="s">
        <v>86</v>
      </c>
      <c r="N1" s="3" t="s">
        <v>87</v>
      </c>
      <c r="O1" s="3" t="s">
        <v>81</v>
      </c>
      <c r="P1" s="3" t="s">
        <v>82</v>
      </c>
      <c r="Q1" s="3" t="s">
        <v>83</v>
      </c>
      <c r="R1" s="3" t="s">
        <v>84</v>
      </c>
      <c r="S1" s="3" t="s">
        <v>85</v>
      </c>
      <c r="T1" s="3" t="s">
        <v>86</v>
      </c>
      <c r="U1" s="3" t="s">
        <v>87</v>
      </c>
      <c r="V1" s="3" t="s">
        <v>81</v>
      </c>
      <c r="W1" s="3" t="s">
        <v>82</v>
      </c>
      <c r="X1" s="3" t="s">
        <v>83</v>
      </c>
      <c r="Y1" s="3" t="s">
        <v>84</v>
      </c>
      <c r="Z1" s="3" t="s">
        <v>85</v>
      </c>
      <c r="AA1" s="3" t="s">
        <v>86</v>
      </c>
      <c r="AB1" s="3" t="s">
        <v>87</v>
      </c>
      <c r="AC1" s="3" t="s">
        <v>81</v>
      </c>
      <c r="AD1" s="3" t="s">
        <v>82</v>
      </c>
      <c r="AE1" s="3" t="s">
        <v>83</v>
      </c>
      <c r="AF1" s="3" t="s">
        <v>84</v>
      </c>
      <c r="AG1" s="1"/>
    </row>
    <row r="2" spans="1:33" x14ac:dyDescent="0.35">
      <c r="A2" s="1"/>
      <c r="B2" s="4"/>
      <c r="C2" s="5">
        <v>46113</v>
      </c>
      <c r="D2" s="5">
        <f>IF(C2+1&gt;EOMONTH(C2,0),"",C2+1)</f>
        <v>46114</v>
      </c>
      <c r="E2" s="5">
        <f t="shared" ref="E2:AF2" si="0">IF(D2+1&gt;EOMONTH(D2,0),"",D2+1)</f>
        <v>46115</v>
      </c>
      <c r="F2" s="5">
        <f t="shared" si="0"/>
        <v>46116</v>
      </c>
      <c r="G2" s="5">
        <f t="shared" si="0"/>
        <v>46117</v>
      </c>
      <c r="H2" s="5">
        <f t="shared" si="0"/>
        <v>46118</v>
      </c>
      <c r="I2" s="5">
        <f t="shared" si="0"/>
        <v>46119</v>
      </c>
      <c r="J2" s="5">
        <f t="shared" si="0"/>
        <v>46120</v>
      </c>
      <c r="K2" s="5">
        <f t="shared" si="0"/>
        <v>46121</v>
      </c>
      <c r="L2" s="5">
        <f t="shared" si="0"/>
        <v>46122</v>
      </c>
      <c r="M2" s="5">
        <f t="shared" si="0"/>
        <v>46123</v>
      </c>
      <c r="N2" s="5">
        <f t="shared" si="0"/>
        <v>46124</v>
      </c>
      <c r="O2" s="5">
        <f t="shared" si="0"/>
        <v>46125</v>
      </c>
      <c r="P2" s="5">
        <f t="shared" si="0"/>
        <v>46126</v>
      </c>
      <c r="Q2" s="5">
        <f t="shared" si="0"/>
        <v>46127</v>
      </c>
      <c r="R2" s="5">
        <f t="shared" si="0"/>
        <v>46128</v>
      </c>
      <c r="S2" s="5">
        <f t="shared" si="0"/>
        <v>46129</v>
      </c>
      <c r="T2" s="5">
        <f t="shared" si="0"/>
        <v>46130</v>
      </c>
      <c r="U2" s="5">
        <f t="shared" si="0"/>
        <v>46131</v>
      </c>
      <c r="V2" s="5">
        <f t="shared" si="0"/>
        <v>46132</v>
      </c>
      <c r="W2" s="5">
        <f t="shared" si="0"/>
        <v>46133</v>
      </c>
      <c r="X2" s="5">
        <f t="shared" si="0"/>
        <v>46134</v>
      </c>
      <c r="Y2" s="5">
        <f t="shared" si="0"/>
        <v>46135</v>
      </c>
      <c r="Z2" s="5">
        <f t="shared" si="0"/>
        <v>46136</v>
      </c>
      <c r="AA2" s="5">
        <f t="shared" si="0"/>
        <v>46137</v>
      </c>
      <c r="AB2" s="5">
        <f t="shared" si="0"/>
        <v>46138</v>
      </c>
      <c r="AC2" s="5">
        <f t="shared" si="0"/>
        <v>46139</v>
      </c>
      <c r="AD2" s="5">
        <f t="shared" si="0"/>
        <v>46140</v>
      </c>
      <c r="AE2" s="5">
        <f t="shared" si="0"/>
        <v>46141</v>
      </c>
      <c r="AF2" s="5">
        <f t="shared" si="0"/>
        <v>46142</v>
      </c>
      <c r="AG2" s="6" t="s">
        <v>0</v>
      </c>
    </row>
    <row r="3" spans="1:33" x14ac:dyDescent="0.35">
      <c r="A3" s="7" t="s">
        <v>1</v>
      </c>
      <c r="B3" s="8" t="s">
        <v>2</v>
      </c>
      <c r="C3" s="9" t="s">
        <v>3</v>
      </c>
      <c r="D3" s="10" t="s">
        <v>3</v>
      </c>
      <c r="E3" s="9" t="s">
        <v>4</v>
      </c>
      <c r="F3" s="9" t="s">
        <v>3</v>
      </c>
      <c r="G3" s="9" t="s">
        <v>5</v>
      </c>
      <c r="H3" s="11" t="s">
        <v>6</v>
      </c>
      <c r="I3" s="9" t="s">
        <v>3</v>
      </c>
      <c r="J3" s="9" t="s">
        <v>5</v>
      </c>
      <c r="K3" s="9" t="s">
        <v>3</v>
      </c>
      <c r="L3" s="9" t="s">
        <v>3</v>
      </c>
      <c r="M3" s="9" t="s">
        <v>3</v>
      </c>
      <c r="N3" s="9" t="s">
        <v>3</v>
      </c>
      <c r="O3" s="9" t="s">
        <v>7</v>
      </c>
      <c r="P3" s="9" t="s">
        <v>8</v>
      </c>
      <c r="Q3" s="12" t="s">
        <v>8</v>
      </c>
      <c r="R3" s="9" t="s">
        <v>3</v>
      </c>
      <c r="S3" s="9" t="s">
        <v>9</v>
      </c>
      <c r="T3" s="13" t="s">
        <v>5</v>
      </c>
      <c r="U3" s="9" t="s">
        <v>5</v>
      </c>
      <c r="V3" s="12" t="s">
        <v>10</v>
      </c>
      <c r="W3" s="14" t="s">
        <v>11</v>
      </c>
      <c r="X3" s="15" t="s">
        <v>11</v>
      </c>
      <c r="Y3" s="9" t="s">
        <v>11</v>
      </c>
      <c r="Z3" s="9" t="s">
        <v>11</v>
      </c>
      <c r="AA3" s="16" t="s">
        <v>12</v>
      </c>
      <c r="AB3" s="17" t="s">
        <v>13</v>
      </c>
      <c r="AC3" s="16" t="s">
        <v>12</v>
      </c>
      <c r="AD3" s="17" t="s">
        <v>14</v>
      </c>
      <c r="AE3" s="16" t="s">
        <v>12</v>
      </c>
      <c r="AF3" s="16" t="s">
        <v>12</v>
      </c>
      <c r="AG3" s="18"/>
    </row>
    <row r="4" spans="1:33" x14ac:dyDescent="0.35">
      <c r="A4" s="7" t="s">
        <v>15</v>
      </c>
      <c r="B4" s="8" t="s">
        <v>16</v>
      </c>
      <c r="C4" s="10">
        <v>0</v>
      </c>
      <c r="D4" s="19">
        <v>0</v>
      </c>
      <c r="E4" s="10">
        <v>4193</v>
      </c>
      <c r="F4" s="10">
        <v>0</v>
      </c>
      <c r="G4" s="10">
        <v>0</v>
      </c>
      <c r="H4" s="10">
        <v>3671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4248</v>
      </c>
      <c r="P4" s="10">
        <v>2094</v>
      </c>
      <c r="Q4" s="10">
        <v>1954</v>
      </c>
      <c r="R4" s="10">
        <v>0</v>
      </c>
      <c r="S4" s="10">
        <v>4082</v>
      </c>
      <c r="T4" s="20">
        <v>7449</v>
      </c>
      <c r="U4" s="10">
        <v>3927</v>
      </c>
      <c r="V4" s="16">
        <v>5676</v>
      </c>
      <c r="W4" s="21">
        <v>5764</v>
      </c>
      <c r="X4" s="22">
        <v>7576</v>
      </c>
      <c r="Y4" s="10">
        <v>4494</v>
      </c>
      <c r="Z4" s="10">
        <v>4654</v>
      </c>
      <c r="AA4" s="10">
        <v>5405</v>
      </c>
      <c r="AB4" s="22">
        <v>6005</v>
      </c>
      <c r="AC4" s="10">
        <v>0</v>
      </c>
      <c r="AD4" s="22">
        <v>4175</v>
      </c>
      <c r="AE4" s="10">
        <v>8619</v>
      </c>
      <c r="AF4" s="16">
        <v>4620</v>
      </c>
      <c r="AG4" s="23">
        <f>SUM(C4:AF4)</f>
        <v>88606</v>
      </c>
    </row>
    <row r="5" spans="1:33" x14ac:dyDescent="0.35">
      <c r="A5" s="7" t="s">
        <v>17</v>
      </c>
      <c r="B5" s="8" t="s">
        <v>18</v>
      </c>
      <c r="C5" s="10">
        <v>1722</v>
      </c>
      <c r="D5" s="10">
        <v>1409</v>
      </c>
      <c r="E5" s="10">
        <v>760</v>
      </c>
      <c r="F5" s="10">
        <v>842</v>
      </c>
      <c r="G5" s="10">
        <v>1725</v>
      </c>
      <c r="H5" s="10">
        <v>1667</v>
      </c>
      <c r="I5" s="10">
        <v>1725</v>
      </c>
      <c r="J5" s="10">
        <v>1670</v>
      </c>
      <c r="K5" s="10">
        <v>1450</v>
      </c>
      <c r="L5" s="10">
        <v>1875</v>
      </c>
      <c r="M5" s="10">
        <v>2062</v>
      </c>
      <c r="N5" s="10">
        <v>1883</v>
      </c>
      <c r="O5" s="10">
        <v>2052</v>
      </c>
      <c r="P5" s="10">
        <v>0</v>
      </c>
      <c r="Q5" s="10">
        <v>1255</v>
      </c>
      <c r="R5" s="10">
        <v>1474</v>
      </c>
      <c r="S5" s="10">
        <v>1144</v>
      </c>
      <c r="T5" s="20">
        <v>826</v>
      </c>
      <c r="U5" s="10">
        <v>894</v>
      </c>
      <c r="V5" s="16">
        <v>1141</v>
      </c>
      <c r="W5" s="21">
        <v>1482</v>
      </c>
      <c r="X5" s="22">
        <v>0</v>
      </c>
      <c r="Y5" s="10">
        <v>0</v>
      </c>
      <c r="Z5" s="10">
        <v>0</v>
      </c>
      <c r="AA5" s="10">
        <v>0</v>
      </c>
      <c r="AB5" s="22">
        <v>0</v>
      </c>
      <c r="AC5" s="10">
        <v>1868</v>
      </c>
      <c r="AD5" s="22">
        <v>2227</v>
      </c>
      <c r="AE5" s="10">
        <v>1962</v>
      </c>
      <c r="AF5" s="16">
        <v>1611</v>
      </c>
      <c r="AG5" s="23">
        <f>SUM(C5:AF5)</f>
        <v>36726</v>
      </c>
    </row>
    <row r="6" spans="1:33" x14ac:dyDescent="0.35">
      <c r="A6" s="24" t="s">
        <v>19</v>
      </c>
      <c r="B6" s="8" t="s">
        <v>20</v>
      </c>
      <c r="C6" s="10">
        <v>11500</v>
      </c>
      <c r="D6" s="10">
        <v>10497</v>
      </c>
      <c r="E6" s="10">
        <v>9140</v>
      </c>
      <c r="F6" s="10">
        <v>10883</v>
      </c>
      <c r="G6" s="10">
        <v>10588</v>
      </c>
      <c r="H6" s="10">
        <v>8392</v>
      </c>
      <c r="I6" s="10">
        <v>6539</v>
      </c>
      <c r="J6" s="10">
        <v>13129</v>
      </c>
      <c r="K6" s="10">
        <v>11756</v>
      </c>
      <c r="L6" s="10">
        <v>9265</v>
      </c>
      <c r="M6" s="10">
        <v>12544</v>
      </c>
      <c r="N6" s="10">
        <v>7629</v>
      </c>
      <c r="O6" s="10">
        <v>8673</v>
      </c>
      <c r="P6" s="10">
        <v>9286</v>
      </c>
      <c r="Q6" s="10">
        <v>8744</v>
      </c>
      <c r="R6" s="10">
        <v>12089</v>
      </c>
      <c r="S6" s="10">
        <v>9747</v>
      </c>
      <c r="T6" s="20">
        <v>8607</v>
      </c>
      <c r="U6" s="10">
        <v>11433</v>
      </c>
      <c r="V6" s="16">
        <v>11107</v>
      </c>
      <c r="W6" s="21">
        <v>6658</v>
      </c>
      <c r="X6" s="22">
        <v>7591</v>
      </c>
      <c r="Y6" s="10">
        <v>7167</v>
      </c>
      <c r="Z6" s="10">
        <v>8348</v>
      </c>
      <c r="AA6" s="10">
        <v>9331</v>
      </c>
      <c r="AB6" s="22">
        <v>8497</v>
      </c>
      <c r="AC6" s="10">
        <v>6620</v>
      </c>
      <c r="AD6" s="22">
        <v>5186</v>
      </c>
      <c r="AE6" s="10">
        <v>5211</v>
      </c>
      <c r="AF6" s="16">
        <v>4880</v>
      </c>
      <c r="AG6" s="23">
        <f>SUM(C6:AF6)</f>
        <v>271037</v>
      </c>
    </row>
    <row r="7" spans="1:33" x14ac:dyDescent="0.35">
      <c r="A7" s="25"/>
      <c r="B7" s="8" t="s">
        <v>21</v>
      </c>
      <c r="C7" s="10">
        <v>11500</v>
      </c>
      <c r="D7" s="10">
        <v>10497</v>
      </c>
      <c r="E7" s="10">
        <v>9140</v>
      </c>
      <c r="F7" s="10">
        <v>10883</v>
      </c>
      <c r="G7" s="10">
        <v>10588</v>
      </c>
      <c r="H7" s="10">
        <v>8392</v>
      </c>
      <c r="I7" s="10">
        <v>6539</v>
      </c>
      <c r="J7" s="10">
        <v>13129</v>
      </c>
      <c r="K7" s="10">
        <v>11756</v>
      </c>
      <c r="L7" s="10">
        <v>9265</v>
      </c>
      <c r="M7" s="10">
        <v>12544</v>
      </c>
      <c r="N7" s="10">
        <v>7629</v>
      </c>
      <c r="O7" s="10">
        <v>8673</v>
      </c>
      <c r="P7" s="10">
        <v>9286</v>
      </c>
      <c r="Q7" s="10">
        <v>8744</v>
      </c>
      <c r="R7" s="10">
        <v>12089</v>
      </c>
      <c r="S7" s="10">
        <v>9747</v>
      </c>
      <c r="T7" s="20">
        <v>8607</v>
      </c>
      <c r="U7" s="10">
        <v>11433</v>
      </c>
      <c r="V7" s="16">
        <v>11107</v>
      </c>
      <c r="W7" s="21">
        <v>6658</v>
      </c>
      <c r="X7" s="22">
        <v>7591</v>
      </c>
      <c r="Y7" s="10">
        <v>7167</v>
      </c>
      <c r="Z7" s="10">
        <v>8348</v>
      </c>
      <c r="AA7" s="10">
        <v>9331</v>
      </c>
      <c r="AB7" s="22">
        <v>8497</v>
      </c>
      <c r="AC7" s="10">
        <v>6620</v>
      </c>
      <c r="AD7" s="22">
        <v>5186</v>
      </c>
      <c r="AE7" s="10">
        <v>5211</v>
      </c>
      <c r="AF7" s="16">
        <v>4880</v>
      </c>
      <c r="AG7" s="23">
        <f>SUM(C7:AF7)</f>
        <v>271037</v>
      </c>
    </row>
    <row r="8" spans="1:33" x14ac:dyDescent="0.35">
      <c r="A8" s="25"/>
      <c r="B8" s="8" t="s">
        <v>22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9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20">
        <v>0</v>
      </c>
      <c r="U8" s="10">
        <v>0</v>
      </c>
      <c r="V8" s="16">
        <v>0</v>
      </c>
      <c r="W8" s="21">
        <v>0</v>
      </c>
      <c r="X8" s="22">
        <v>0</v>
      </c>
      <c r="Y8" s="10">
        <v>0</v>
      </c>
      <c r="Z8" s="10">
        <v>0</v>
      </c>
      <c r="AA8" s="10">
        <v>0</v>
      </c>
      <c r="AB8" s="22">
        <v>0</v>
      </c>
      <c r="AC8" s="10">
        <v>0</v>
      </c>
      <c r="AD8" s="22">
        <v>0</v>
      </c>
      <c r="AE8" s="10">
        <v>0</v>
      </c>
      <c r="AF8" s="16">
        <v>0</v>
      </c>
      <c r="AG8" s="23">
        <f>SUM(C8:AF8)</f>
        <v>0</v>
      </c>
    </row>
    <row r="9" spans="1:33" x14ac:dyDescent="0.35">
      <c r="A9" s="25"/>
      <c r="B9" s="8" t="s">
        <v>23</v>
      </c>
      <c r="C9" s="10">
        <v>605.26315789473688</v>
      </c>
      <c r="D9" s="10">
        <v>567.40540540540542</v>
      </c>
      <c r="E9" s="26">
        <v>634.28174878556558</v>
      </c>
      <c r="F9" s="10">
        <v>625.10051694428489</v>
      </c>
      <c r="G9" s="10">
        <v>605.02857142857147</v>
      </c>
      <c r="H9" s="10">
        <v>534.52229299363057</v>
      </c>
      <c r="I9" s="10">
        <v>560.8061749571184</v>
      </c>
      <c r="J9" s="10">
        <v>638.88077858880774</v>
      </c>
      <c r="K9" s="10">
        <v>635.45945945945948</v>
      </c>
      <c r="L9" s="10">
        <v>597.74193548387098</v>
      </c>
      <c r="M9" s="10">
        <v>680.99891422366989</v>
      </c>
      <c r="N9" s="10">
        <v>682.37924865831849</v>
      </c>
      <c r="O9" s="10">
        <v>738.12765957446811</v>
      </c>
      <c r="P9" s="10">
        <v>659.5170454545455</v>
      </c>
      <c r="Q9" s="26">
        <v>672.61538461538464</v>
      </c>
      <c r="R9" s="10">
        <v>687.6564277588169</v>
      </c>
      <c r="S9" s="10">
        <v>713.5431918008785</v>
      </c>
      <c r="T9" s="27">
        <v>449.21711899791234</v>
      </c>
      <c r="U9" s="10">
        <v>571.65</v>
      </c>
      <c r="V9" s="28" t="e">
        <v>#DIV/0!</v>
      </c>
      <c r="W9" s="21">
        <v>393.96449704142015</v>
      </c>
      <c r="X9" s="22">
        <v>439.29398148148147</v>
      </c>
      <c r="Y9" s="10">
        <v>518.2212581344902</v>
      </c>
      <c r="Z9" s="10">
        <v>0</v>
      </c>
      <c r="AA9" s="10">
        <v>472.45569620253167</v>
      </c>
      <c r="AB9" s="22">
        <v>361.57446808510639</v>
      </c>
      <c r="AC9" s="10" t="e">
        <v>#DIV/0!</v>
      </c>
      <c r="AD9" s="22">
        <v>270.52686489306205</v>
      </c>
      <c r="AE9" s="10">
        <v>230.57522123893804</v>
      </c>
      <c r="AF9" s="16">
        <v>361.48148148148147</v>
      </c>
      <c r="AG9" s="23">
        <f>AG6/AG15</f>
        <v>596.87947323217861</v>
      </c>
    </row>
    <row r="10" spans="1:33" x14ac:dyDescent="0.35">
      <c r="A10" s="25"/>
      <c r="B10" s="8" t="s">
        <v>24</v>
      </c>
      <c r="C10" s="10">
        <v>2172</v>
      </c>
      <c r="D10" s="19">
        <v>1055</v>
      </c>
      <c r="E10" s="29">
        <v>0</v>
      </c>
      <c r="F10" s="10">
        <v>105</v>
      </c>
      <c r="G10" s="10">
        <v>1783</v>
      </c>
      <c r="H10" s="29">
        <v>203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29">
        <v>0</v>
      </c>
      <c r="R10" s="10">
        <v>0</v>
      </c>
      <c r="S10" s="10">
        <v>0</v>
      </c>
      <c r="T10" s="30">
        <v>0</v>
      </c>
      <c r="U10" s="10">
        <v>0</v>
      </c>
      <c r="V10" s="31">
        <v>0</v>
      </c>
      <c r="W10" s="21">
        <v>0</v>
      </c>
      <c r="X10" s="22">
        <v>0</v>
      </c>
      <c r="Y10" s="10">
        <v>0</v>
      </c>
      <c r="Z10" s="10">
        <v>0</v>
      </c>
      <c r="AA10" s="10">
        <v>0</v>
      </c>
      <c r="AB10" s="22">
        <v>0</v>
      </c>
      <c r="AC10" s="10">
        <v>0</v>
      </c>
      <c r="AD10" s="22">
        <v>0</v>
      </c>
      <c r="AE10" s="10">
        <v>0</v>
      </c>
      <c r="AF10" s="16">
        <v>0</v>
      </c>
      <c r="AG10" s="23">
        <f>SUM(C10:AF10)</f>
        <v>5318</v>
      </c>
    </row>
    <row r="11" spans="1:33" x14ac:dyDescent="0.35">
      <c r="A11" s="25"/>
      <c r="B11" s="8" t="s">
        <v>25</v>
      </c>
      <c r="C11" s="10">
        <v>2172</v>
      </c>
      <c r="D11" s="9">
        <v>1055</v>
      </c>
      <c r="E11" s="29">
        <v>0</v>
      </c>
      <c r="F11" s="10">
        <v>105</v>
      </c>
      <c r="G11" s="10">
        <v>1783</v>
      </c>
      <c r="H11" s="29">
        <v>203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29">
        <v>0</v>
      </c>
      <c r="R11" s="10">
        <v>0</v>
      </c>
      <c r="S11" s="10">
        <v>0</v>
      </c>
      <c r="T11" s="30">
        <v>0</v>
      </c>
      <c r="U11" s="10">
        <v>0</v>
      </c>
      <c r="V11" s="31">
        <v>0</v>
      </c>
      <c r="W11" s="21">
        <v>0</v>
      </c>
      <c r="X11" s="22">
        <v>0</v>
      </c>
      <c r="Y11" s="10">
        <v>0</v>
      </c>
      <c r="Z11" s="10">
        <v>0</v>
      </c>
      <c r="AA11" s="10">
        <v>0</v>
      </c>
      <c r="AB11" s="22">
        <v>0</v>
      </c>
      <c r="AC11" s="10">
        <v>0</v>
      </c>
      <c r="AD11" s="22">
        <v>0</v>
      </c>
      <c r="AE11" s="10">
        <v>0</v>
      </c>
      <c r="AF11" s="16">
        <v>0</v>
      </c>
      <c r="AG11" s="23">
        <f>SUM(C11:AF11)</f>
        <v>5318</v>
      </c>
    </row>
    <row r="12" spans="1:33" x14ac:dyDescent="0.35">
      <c r="A12" s="25"/>
      <c r="B12" s="8" t="s">
        <v>26</v>
      </c>
      <c r="C12" s="32">
        <v>0.21480504717517337</v>
      </c>
      <c r="D12" s="32">
        <v>9.8134288463594566E-2</v>
      </c>
      <c r="E12" s="32">
        <v>0.40446945337620577</v>
      </c>
      <c r="F12" s="32">
        <v>1.272284122562674E-2</v>
      </c>
      <c r="G12" s="32">
        <v>0.20064804035700429</v>
      </c>
      <c r="H12" s="32">
        <v>0.41563448020717725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0.44239406272444337</v>
      </c>
      <c r="P12" s="10">
        <v>0.23213302752293577</v>
      </c>
      <c r="Q12" s="33">
        <v>0.20201782531194296</v>
      </c>
      <c r="R12" s="32">
        <v>0</v>
      </c>
      <c r="S12" s="32">
        <v>0.40141742963716515</v>
      </c>
      <c r="T12" s="34">
        <v>0.69841901066925316</v>
      </c>
      <c r="U12" s="32">
        <v>0.52080640243902432</v>
      </c>
      <c r="V12" s="35">
        <v>0.53710245812486401</v>
      </c>
      <c r="W12" s="36">
        <v>0.59303216650898771</v>
      </c>
      <c r="X12" s="37">
        <v>0.77451468860164507</v>
      </c>
      <c r="Y12" s="32">
        <v>0.54077178423236516</v>
      </c>
      <c r="Z12" s="32">
        <v>0.51033274514746663</v>
      </c>
      <c r="AA12" s="32">
        <v>0.52277376320177882</v>
      </c>
      <c r="AB12" s="37">
        <v>0.54471379418204569</v>
      </c>
      <c r="AC12" s="32">
        <v>0</v>
      </c>
      <c r="AD12" s="37">
        <v>1.2740266573132235</v>
      </c>
      <c r="AE12" s="32">
        <v>1.2188965221124948</v>
      </c>
      <c r="AF12" s="16">
        <v>1.2401727861771059</v>
      </c>
      <c r="AG12" s="38">
        <f>(AG4+AG11)*0.87/AG31</f>
        <v>0.36413735940535824</v>
      </c>
    </row>
    <row r="13" spans="1:33" x14ac:dyDescent="0.35">
      <c r="A13" s="25"/>
      <c r="B13" s="8" t="s">
        <v>27</v>
      </c>
      <c r="C13" s="10">
        <v>0</v>
      </c>
      <c r="D13" s="10">
        <v>0</v>
      </c>
      <c r="E13" s="29">
        <v>0</v>
      </c>
      <c r="F13" s="10">
        <v>0</v>
      </c>
      <c r="G13" s="10">
        <v>0</v>
      </c>
      <c r="H13" s="29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29">
        <v>0</v>
      </c>
      <c r="R13" s="10">
        <v>0</v>
      </c>
      <c r="S13" s="10">
        <v>0</v>
      </c>
      <c r="T13" s="30">
        <v>0</v>
      </c>
      <c r="U13" s="10">
        <v>0</v>
      </c>
      <c r="V13" s="31">
        <v>0</v>
      </c>
      <c r="W13" s="21">
        <v>0</v>
      </c>
      <c r="X13" s="22">
        <v>0</v>
      </c>
      <c r="Y13" s="10">
        <v>0</v>
      </c>
      <c r="Z13" s="10">
        <v>0</v>
      </c>
      <c r="AA13" s="10">
        <v>0</v>
      </c>
      <c r="AB13" s="22">
        <v>0</v>
      </c>
      <c r="AC13" s="10">
        <v>0</v>
      </c>
      <c r="AD13" s="22">
        <v>0</v>
      </c>
      <c r="AE13" s="10">
        <v>0</v>
      </c>
      <c r="AF13" s="16">
        <v>0</v>
      </c>
      <c r="AG13" s="23">
        <f>SUM(C13:AF13)</f>
        <v>0</v>
      </c>
    </row>
    <row r="14" spans="1:33" x14ac:dyDescent="0.35">
      <c r="A14" s="25"/>
      <c r="B14" s="8" t="s">
        <v>28</v>
      </c>
      <c r="C14" s="32">
        <v>0</v>
      </c>
      <c r="D14" s="32">
        <v>0</v>
      </c>
      <c r="E14" s="33">
        <v>0</v>
      </c>
      <c r="F14" s="32">
        <v>0</v>
      </c>
      <c r="G14" s="32">
        <v>0</v>
      </c>
      <c r="H14" s="32">
        <v>0</v>
      </c>
      <c r="I14" s="9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10">
        <v>0</v>
      </c>
      <c r="Q14" s="33">
        <v>0</v>
      </c>
      <c r="R14" s="32">
        <v>0</v>
      </c>
      <c r="S14" s="32">
        <v>0</v>
      </c>
      <c r="T14" s="39">
        <v>0</v>
      </c>
      <c r="U14" s="32">
        <v>0</v>
      </c>
      <c r="V14" s="35">
        <v>0</v>
      </c>
      <c r="W14" s="36">
        <v>0</v>
      </c>
      <c r="X14" s="37">
        <v>0</v>
      </c>
      <c r="Y14" s="32">
        <v>0</v>
      </c>
      <c r="Z14" s="32">
        <v>0</v>
      </c>
      <c r="AA14" s="32">
        <v>0</v>
      </c>
      <c r="AB14" s="37">
        <v>0</v>
      </c>
      <c r="AC14" s="32">
        <v>0</v>
      </c>
      <c r="AD14" s="37">
        <v>0</v>
      </c>
      <c r="AE14" s="32">
        <v>0</v>
      </c>
      <c r="AF14" s="16">
        <v>0</v>
      </c>
      <c r="AG14" s="38">
        <f>+AG13*0.62/AG34</f>
        <v>0</v>
      </c>
    </row>
    <row r="15" spans="1:33" x14ac:dyDescent="0.35">
      <c r="A15" s="40"/>
      <c r="B15" s="8" t="s">
        <v>29</v>
      </c>
      <c r="C15" s="41">
        <v>19</v>
      </c>
      <c r="D15" s="41">
        <v>18.5</v>
      </c>
      <c r="E15" s="41">
        <v>14.41</v>
      </c>
      <c r="F15" s="41">
        <v>17.41</v>
      </c>
      <c r="G15" s="41">
        <v>17.5</v>
      </c>
      <c r="H15" s="41">
        <v>15.7</v>
      </c>
      <c r="I15" s="42">
        <v>11.66</v>
      </c>
      <c r="J15" s="43">
        <v>20.55</v>
      </c>
      <c r="K15" s="43">
        <v>18.5</v>
      </c>
      <c r="L15" s="43">
        <v>15.5</v>
      </c>
      <c r="M15" s="43">
        <v>18.420000000000002</v>
      </c>
      <c r="N15" s="43">
        <v>11.18</v>
      </c>
      <c r="O15" s="43">
        <v>11.75</v>
      </c>
      <c r="P15" s="10">
        <v>14.08</v>
      </c>
      <c r="Q15" s="41">
        <v>13</v>
      </c>
      <c r="R15" s="43">
        <v>17.579999999999998</v>
      </c>
      <c r="S15" s="43">
        <v>13.66</v>
      </c>
      <c r="T15" s="44">
        <v>19.16</v>
      </c>
      <c r="U15" s="43">
        <v>20</v>
      </c>
      <c r="V15" s="45"/>
      <c r="W15" s="46">
        <v>16.899999999999999</v>
      </c>
      <c r="X15" s="47">
        <v>17.28</v>
      </c>
      <c r="Y15" s="43">
        <v>13.83</v>
      </c>
      <c r="Z15" s="43" t="s">
        <v>30</v>
      </c>
      <c r="AA15" s="41">
        <v>19.75</v>
      </c>
      <c r="AB15" s="47">
        <v>23.5</v>
      </c>
      <c r="AC15" s="41">
        <v>0</v>
      </c>
      <c r="AD15" s="48">
        <v>19.170000000000002</v>
      </c>
      <c r="AE15" s="41">
        <v>22.6</v>
      </c>
      <c r="AF15" s="49">
        <v>13.5</v>
      </c>
      <c r="AG15" s="23">
        <f>SUM(C15:AF15)</f>
        <v>454.09000000000003</v>
      </c>
    </row>
    <row r="16" spans="1:33" x14ac:dyDescent="0.35">
      <c r="A16" s="50" t="s">
        <v>31</v>
      </c>
      <c r="B16" s="8" t="s">
        <v>32</v>
      </c>
      <c r="C16" s="10">
        <v>4775</v>
      </c>
      <c r="D16" s="10">
        <v>1979</v>
      </c>
      <c r="E16" s="10">
        <v>2976</v>
      </c>
      <c r="F16" s="10">
        <v>4091</v>
      </c>
      <c r="G16" s="10">
        <v>3827</v>
      </c>
      <c r="H16" s="10">
        <v>2924</v>
      </c>
      <c r="I16" s="10">
        <v>1405</v>
      </c>
      <c r="J16" s="10">
        <v>5065</v>
      </c>
      <c r="K16" s="10">
        <v>3716</v>
      </c>
      <c r="L16" s="10">
        <v>2150</v>
      </c>
      <c r="M16" s="10">
        <v>5464</v>
      </c>
      <c r="N16" s="10">
        <v>226</v>
      </c>
      <c r="O16" s="10">
        <v>3845</v>
      </c>
      <c r="P16" s="10">
        <v>3186</v>
      </c>
      <c r="Q16" s="10">
        <v>1961</v>
      </c>
      <c r="R16" s="10">
        <v>4408</v>
      </c>
      <c r="S16" s="10">
        <v>3900</v>
      </c>
      <c r="T16" s="20">
        <v>5150</v>
      </c>
      <c r="U16" s="10">
        <v>4566</v>
      </c>
      <c r="V16" s="16">
        <v>3237</v>
      </c>
      <c r="W16" s="21">
        <v>3533</v>
      </c>
      <c r="X16" s="22">
        <v>4277</v>
      </c>
      <c r="Y16" s="10">
        <v>2937</v>
      </c>
      <c r="Z16" s="10">
        <v>3380</v>
      </c>
      <c r="AA16" s="10">
        <v>3902</v>
      </c>
      <c r="AB16" s="22">
        <v>4670</v>
      </c>
      <c r="AC16" s="10">
        <v>2882</v>
      </c>
      <c r="AD16" s="22">
        <v>4341</v>
      </c>
      <c r="AE16" s="10">
        <v>4601</v>
      </c>
      <c r="AF16" s="16">
        <v>2716</v>
      </c>
      <c r="AG16" s="51">
        <f>SUM(C16:AF16)</f>
        <v>106090</v>
      </c>
    </row>
    <row r="17" spans="1:33" x14ac:dyDescent="0.35">
      <c r="A17" s="52"/>
      <c r="B17" s="8" t="s">
        <v>33</v>
      </c>
      <c r="C17" s="10">
        <v>4775</v>
      </c>
      <c r="D17" s="10">
        <v>1979</v>
      </c>
      <c r="E17" s="10">
        <v>2976</v>
      </c>
      <c r="F17" s="10">
        <v>4091</v>
      </c>
      <c r="G17" s="10">
        <v>3827</v>
      </c>
      <c r="H17" s="10">
        <v>2924</v>
      </c>
      <c r="I17" s="10">
        <v>1405</v>
      </c>
      <c r="J17" s="10">
        <v>5065</v>
      </c>
      <c r="K17" s="10">
        <v>3716</v>
      </c>
      <c r="L17" s="10">
        <v>2150</v>
      </c>
      <c r="M17" s="10">
        <v>5464</v>
      </c>
      <c r="N17" s="10">
        <v>226</v>
      </c>
      <c r="O17" s="10">
        <v>3845</v>
      </c>
      <c r="P17" s="10">
        <v>3186</v>
      </c>
      <c r="Q17" s="10">
        <v>1961</v>
      </c>
      <c r="R17" s="10">
        <v>4408</v>
      </c>
      <c r="S17" s="10">
        <v>3900</v>
      </c>
      <c r="T17" s="20">
        <v>5150</v>
      </c>
      <c r="U17" s="10">
        <v>5273</v>
      </c>
      <c r="V17" s="16">
        <v>3237</v>
      </c>
      <c r="W17" s="21">
        <v>3533</v>
      </c>
      <c r="X17" s="22">
        <v>4277</v>
      </c>
      <c r="Y17" s="10">
        <v>2937</v>
      </c>
      <c r="Z17" s="10">
        <v>3380</v>
      </c>
      <c r="AA17" s="10">
        <v>3902</v>
      </c>
      <c r="AB17" s="22">
        <v>4670</v>
      </c>
      <c r="AC17" s="10">
        <v>2882</v>
      </c>
      <c r="AD17" s="22">
        <v>4341</v>
      </c>
      <c r="AE17" s="10">
        <v>4601</v>
      </c>
      <c r="AF17" s="16">
        <v>2716</v>
      </c>
      <c r="AG17" s="23">
        <f>SUM(C17:AF17)</f>
        <v>106797</v>
      </c>
    </row>
    <row r="18" spans="1:33" x14ac:dyDescent="0.35">
      <c r="A18" s="52"/>
      <c r="B18" s="8" t="s">
        <v>34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20">
        <v>0</v>
      </c>
      <c r="U18" s="10">
        <v>0</v>
      </c>
      <c r="V18" s="16">
        <v>0</v>
      </c>
      <c r="W18" s="21">
        <v>0</v>
      </c>
      <c r="X18" s="22">
        <v>0</v>
      </c>
      <c r="Y18" s="10">
        <v>0</v>
      </c>
      <c r="Z18" s="10">
        <v>0</v>
      </c>
      <c r="AA18" s="10">
        <v>0</v>
      </c>
      <c r="AB18" s="22">
        <v>0</v>
      </c>
      <c r="AC18" s="10">
        <v>0</v>
      </c>
      <c r="AD18" s="22">
        <v>0</v>
      </c>
      <c r="AE18" s="10">
        <v>0</v>
      </c>
      <c r="AF18" s="16">
        <v>0</v>
      </c>
      <c r="AG18" s="23">
        <f>SUM(C18:AF18)</f>
        <v>0</v>
      </c>
    </row>
    <row r="19" spans="1:33" x14ac:dyDescent="0.35">
      <c r="A19" s="52"/>
      <c r="B19" s="8" t="s">
        <v>29</v>
      </c>
      <c r="C19" s="41">
        <v>20</v>
      </c>
      <c r="D19" s="41">
        <v>12.33</v>
      </c>
      <c r="E19" s="41">
        <v>16</v>
      </c>
      <c r="F19" s="53">
        <v>16.66</v>
      </c>
      <c r="G19" s="41">
        <v>20.079999999999998</v>
      </c>
      <c r="H19" s="41">
        <v>18.007999999999999</v>
      </c>
      <c r="I19" s="41">
        <v>5</v>
      </c>
      <c r="J19" s="41">
        <v>22.16</v>
      </c>
      <c r="K19" s="41">
        <v>19.25</v>
      </c>
      <c r="L19" s="41">
        <v>13.58</v>
      </c>
      <c r="M19" s="41">
        <v>22.5</v>
      </c>
      <c r="N19" s="41">
        <v>0.75</v>
      </c>
      <c r="O19" s="41">
        <v>16.420000000000002</v>
      </c>
      <c r="P19" s="10">
        <v>18.829999999999998</v>
      </c>
      <c r="Q19" s="41">
        <v>12.5</v>
      </c>
      <c r="R19" s="41">
        <v>21.17</v>
      </c>
      <c r="S19" s="41">
        <v>16.25</v>
      </c>
      <c r="T19" s="44">
        <v>20.5</v>
      </c>
      <c r="U19" s="41">
        <v>19</v>
      </c>
      <c r="V19" s="45">
        <v>6</v>
      </c>
      <c r="W19" s="54">
        <v>21.5</v>
      </c>
      <c r="X19" s="48">
        <v>23.25</v>
      </c>
      <c r="Y19" s="41">
        <v>13.25</v>
      </c>
      <c r="Z19" s="41" t="s">
        <v>35</v>
      </c>
      <c r="AA19" s="41">
        <v>24</v>
      </c>
      <c r="AB19" s="48">
        <v>24</v>
      </c>
      <c r="AC19" s="41">
        <v>23.17</v>
      </c>
      <c r="AD19" s="48">
        <v>20.34</v>
      </c>
      <c r="AE19" s="41">
        <v>23.6</v>
      </c>
      <c r="AF19" s="16">
        <v>13.5</v>
      </c>
      <c r="AG19" s="23">
        <f>AG16/AG20</f>
        <v>503.06309790791829</v>
      </c>
    </row>
    <row r="20" spans="1:33" x14ac:dyDescent="0.35">
      <c r="A20" s="52"/>
      <c r="B20" s="8" t="s">
        <v>36</v>
      </c>
      <c r="C20" s="10">
        <v>238.75</v>
      </c>
      <c r="D20" s="10">
        <v>160.50283860502839</v>
      </c>
      <c r="E20" s="26">
        <v>186</v>
      </c>
      <c r="F20" s="10">
        <v>245.55822328931572</v>
      </c>
      <c r="G20" s="10">
        <v>190.58764940239047</v>
      </c>
      <c r="H20" s="10">
        <v>162.37227898711686</v>
      </c>
      <c r="I20" s="10">
        <v>281</v>
      </c>
      <c r="J20" s="10">
        <v>228.56498194945848</v>
      </c>
      <c r="K20" s="10">
        <v>193.03896103896105</v>
      </c>
      <c r="L20" s="10">
        <v>158.32106038291604</v>
      </c>
      <c r="M20" s="10">
        <v>242.84444444444443</v>
      </c>
      <c r="N20" s="10">
        <v>301.33333333333331</v>
      </c>
      <c r="O20" s="10">
        <v>234.16565164433615</v>
      </c>
      <c r="P20" s="10">
        <v>169.19808815719597</v>
      </c>
      <c r="Q20" s="26">
        <v>156.88</v>
      </c>
      <c r="R20" s="26">
        <v>208.21917808219177</v>
      </c>
      <c r="S20" s="10">
        <v>240</v>
      </c>
      <c r="T20" s="27">
        <v>251.21951219512195</v>
      </c>
      <c r="U20" s="28">
        <v>277.5263157894737</v>
      </c>
      <c r="V20" s="28">
        <v>539.5</v>
      </c>
      <c r="W20" s="55">
        <v>164.32558139534885</v>
      </c>
      <c r="X20" s="56">
        <v>183.95698924731184</v>
      </c>
      <c r="Y20" s="28">
        <v>221.66037735849056</v>
      </c>
      <c r="Z20" s="28">
        <v>0</v>
      </c>
      <c r="AA20" s="28">
        <v>162.58333333333334</v>
      </c>
      <c r="AB20" s="56">
        <v>194.58333333333334</v>
      </c>
      <c r="AC20" s="28">
        <v>124.38498057833404</v>
      </c>
      <c r="AD20" s="56">
        <v>213.42182890855457</v>
      </c>
      <c r="AE20" s="28">
        <v>194.95762711864407</v>
      </c>
      <c r="AF20" s="16">
        <v>201.18518518518519</v>
      </c>
      <c r="AG20" s="57">
        <f>AVERAGE(C20:AF20)</f>
        <v>210.88805845866065</v>
      </c>
    </row>
    <row r="21" spans="1:33" x14ac:dyDescent="0.35">
      <c r="A21" s="58"/>
      <c r="B21" s="8" t="s">
        <v>37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20">
        <v>50</v>
      </c>
      <c r="U21" s="28">
        <v>2929</v>
      </c>
      <c r="V21" s="28">
        <v>1411</v>
      </c>
      <c r="W21" s="55">
        <v>0</v>
      </c>
      <c r="X21" s="56">
        <v>0</v>
      </c>
      <c r="Y21" s="28">
        <v>0</v>
      </c>
      <c r="Z21" s="28">
        <v>0</v>
      </c>
      <c r="AA21" s="28">
        <v>0</v>
      </c>
      <c r="AB21" s="56">
        <v>0</v>
      </c>
      <c r="AC21" s="28">
        <v>0</v>
      </c>
      <c r="AD21" s="56">
        <v>1048</v>
      </c>
      <c r="AE21" s="28">
        <v>1062</v>
      </c>
      <c r="AF21" s="16">
        <v>2024</v>
      </c>
      <c r="AG21" s="59">
        <f>SUM(C21:AF21)</f>
        <v>8524</v>
      </c>
    </row>
    <row r="22" spans="1:33" ht="18.5" x14ac:dyDescent="0.45">
      <c r="A22" s="50" t="s">
        <v>38</v>
      </c>
      <c r="B22" s="8" t="s">
        <v>39</v>
      </c>
      <c r="C22" s="10">
        <v>51.544921875</v>
      </c>
      <c r="D22" s="10">
        <v>51.390109890109891</v>
      </c>
      <c r="E22" s="26">
        <v>50.105555555555554</v>
      </c>
      <c r="F22" s="10">
        <v>42.738095238095241</v>
      </c>
      <c r="G22" s="10">
        <v>42.791512915129154</v>
      </c>
      <c r="H22" s="10">
        <v>49.445121951219512</v>
      </c>
      <c r="I22" s="10">
        <v>46.361111111111114</v>
      </c>
      <c r="J22" s="10">
        <v>49.455696202531634</v>
      </c>
      <c r="K22" s="10">
        <v>46.356846473029051</v>
      </c>
      <c r="L22" s="10">
        <v>42.606521739130429</v>
      </c>
      <c r="M22" s="10">
        <v>39.524999999999999</v>
      </c>
      <c r="N22" s="10">
        <v>44.661290322580633</v>
      </c>
      <c r="O22" s="10">
        <v>54.720524017467255</v>
      </c>
      <c r="P22" s="10">
        <v>51.631578947368418</v>
      </c>
      <c r="Q22" s="26">
        <v>52.593750000000007</v>
      </c>
      <c r="R22" s="10">
        <v>50.579741379310349</v>
      </c>
      <c r="S22" s="10">
        <v>53.081999999999994</v>
      </c>
      <c r="T22" s="60">
        <v>57.514462809917354</v>
      </c>
      <c r="U22" s="10">
        <v>47.999999999999993</v>
      </c>
      <c r="V22" s="61">
        <v>56.520491803278681</v>
      </c>
      <c r="W22" s="21">
        <v>52.197530864197532</v>
      </c>
      <c r="X22" s="22">
        <v>52.747933884297517</v>
      </c>
      <c r="Y22" s="10">
        <v>51.398104265402836</v>
      </c>
      <c r="Z22" s="10">
        <v>47.603999999999999</v>
      </c>
      <c r="AA22" s="10">
        <v>50.533707865168537</v>
      </c>
      <c r="AB22" s="22">
        <v>50.656690140845058</v>
      </c>
      <c r="AC22" s="10">
        <v>48.513513513513516</v>
      </c>
      <c r="AD22" s="22">
        <v>55.538961038961013</v>
      </c>
      <c r="AE22" s="10">
        <v>54.5859375</v>
      </c>
      <c r="AF22" s="16">
        <v>51.718085106382979</v>
      </c>
      <c r="AG22" s="23">
        <f>AG31/AG37/8</f>
        <v>49.742278705482505</v>
      </c>
    </row>
    <row r="23" spans="1:33" x14ac:dyDescent="0.35">
      <c r="A23" s="52"/>
      <c r="B23" s="8" t="s">
        <v>40</v>
      </c>
      <c r="C23" s="10">
        <v>51.552977027660575</v>
      </c>
      <c r="D23" s="10">
        <v>51.390109890109891</v>
      </c>
      <c r="E23" s="26">
        <v>47.33064516129032</v>
      </c>
      <c r="F23" s="10">
        <v>42.738095238095241</v>
      </c>
      <c r="G23" s="10">
        <v>42.638824078394777</v>
      </c>
      <c r="H23" s="10">
        <v>42.5</v>
      </c>
      <c r="I23" s="10">
        <v>46.361111111111114</v>
      </c>
      <c r="J23" s="10">
        <v>43.144796380090497</v>
      </c>
      <c r="K23" s="10">
        <v>46.356846473029051</v>
      </c>
      <c r="L23" s="10">
        <v>42.606521739130429</v>
      </c>
      <c r="M23" s="10">
        <v>39.524999999999999</v>
      </c>
      <c r="N23" s="10">
        <v>44.661290322580633</v>
      </c>
      <c r="O23" s="10">
        <v>49.967405475880057</v>
      </c>
      <c r="P23" s="10">
        <v>41.25</v>
      </c>
      <c r="Q23" s="10">
        <v>51.854838709677416</v>
      </c>
      <c r="R23" s="10">
        <v>50.588463528194524</v>
      </c>
      <c r="S23" s="10">
        <v>50.4</v>
      </c>
      <c r="T23" s="60">
        <v>55.721507352941174</v>
      </c>
      <c r="U23" s="10">
        <v>45.616883116883116</v>
      </c>
      <c r="V23" s="10">
        <v>58.946078431372555</v>
      </c>
      <c r="W23" s="10">
        <v>52.197530864197532</v>
      </c>
      <c r="X23" s="10">
        <v>52.739216658403564</v>
      </c>
      <c r="Y23" s="10">
        <v>51.407849829351541</v>
      </c>
      <c r="Z23" s="10">
        <v>48</v>
      </c>
      <c r="AA23" s="10">
        <v>51</v>
      </c>
      <c r="AB23" s="22">
        <v>50.226269315673292</v>
      </c>
      <c r="AC23" s="10">
        <v>48.513513513513516</v>
      </c>
      <c r="AD23" s="22">
        <v>55.510124610591902</v>
      </c>
      <c r="AE23" s="10">
        <v>54.5859375</v>
      </c>
      <c r="AF23" s="16">
        <v>51.740102171136655</v>
      </c>
      <c r="AG23" s="23">
        <f>AG32/AG38/8</f>
        <v>34.949427605047482</v>
      </c>
    </row>
    <row r="24" spans="1:33" x14ac:dyDescent="0.35">
      <c r="A24" s="52"/>
      <c r="B24" s="8" t="s">
        <v>41</v>
      </c>
      <c r="C24" s="10" t="e">
        <v>#DIV/0!</v>
      </c>
      <c r="D24" s="62" t="e">
        <v>#DIV/0!</v>
      </c>
      <c r="E24" s="26" t="e">
        <v>#DIV/0!</v>
      </c>
      <c r="F24" s="10" t="e">
        <v>#DIV/0!</v>
      </c>
      <c r="G24" s="10">
        <v>54.347826086956523</v>
      </c>
      <c r="H24" s="10">
        <v>54.934210526315795</v>
      </c>
      <c r="I24" s="10" t="e">
        <v>#DIV/0!</v>
      </c>
      <c r="J24" s="10">
        <v>57.471264367816097</v>
      </c>
      <c r="K24" s="10">
        <v>0</v>
      </c>
      <c r="L24" s="10">
        <v>0</v>
      </c>
      <c r="M24" s="10">
        <v>0</v>
      </c>
      <c r="N24" s="10">
        <v>0</v>
      </c>
      <c r="O24" s="10" t="e">
        <v>#DIV/0!</v>
      </c>
      <c r="P24" s="10">
        <v>61.607142857142854</v>
      </c>
      <c r="Q24" s="10">
        <v>53.703703703703702</v>
      </c>
      <c r="R24" s="10">
        <v>0</v>
      </c>
      <c r="S24" s="10">
        <v>53.571428571428569</v>
      </c>
      <c r="T24" s="60">
        <v>59.615039483129934</v>
      </c>
      <c r="U24" s="10">
        <v>49.955595026642968</v>
      </c>
      <c r="V24" s="63">
        <v>54.078947368421034</v>
      </c>
      <c r="W24" s="10" t="e">
        <v>#DIV/0!</v>
      </c>
      <c r="X24" s="10" t="e">
        <v>#DIV/0!</v>
      </c>
      <c r="Y24" s="10" t="e">
        <v>#DIV/0!</v>
      </c>
      <c r="Z24" s="10">
        <v>0</v>
      </c>
      <c r="AA24" s="10">
        <v>0</v>
      </c>
      <c r="AB24" s="22">
        <v>60.245901639343899</v>
      </c>
      <c r="AC24" s="10" t="e">
        <v>#DIV/0!</v>
      </c>
      <c r="AD24" s="22">
        <v>0</v>
      </c>
      <c r="AE24" s="10" t="e">
        <v>#DIV/0!</v>
      </c>
      <c r="AF24" s="16">
        <v>0</v>
      </c>
      <c r="AG24" s="23">
        <f>+AG34/AG39/8</f>
        <v>42.297719059464022</v>
      </c>
    </row>
    <row r="25" spans="1:33" ht="18.5" x14ac:dyDescent="0.45">
      <c r="A25" s="52"/>
      <c r="B25" s="8" t="s">
        <v>42</v>
      </c>
      <c r="C25" s="10" t="e">
        <v>#DIV/0!</v>
      </c>
      <c r="D25" s="19" t="e">
        <v>#DIV/0!</v>
      </c>
      <c r="E25" s="26">
        <v>56.25</v>
      </c>
      <c r="F25" s="10" t="e">
        <v>#DIV/0!</v>
      </c>
      <c r="G25" s="10" t="e">
        <v>#DIV/0!</v>
      </c>
      <c r="H25" s="10">
        <v>62.73936170212766</v>
      </c>
      <c r="I25" s="10" t="e">
        <v>#DIV/0!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64.365079365079367</v>
      </c>
      <c r="P25" s="10">
        <v>54.9375</v>
      </c>
      <c r="Q25" s="26">
        <v>55.753968253968317</v>
      </c>
      <c r="R25" s="10">
        <v>0</v>
      </c>
      <c r="S25" s="10">
        <v>58.092374616171938</v>
      </c>
      <c r="T25" s="60" t="e">
        <v>#DIV/0!</v>
      </c>
      <c r="U25" s="10" t="e">
        <v>#DIV/0!</v>
      </c>
      <c r="V25" s="61" t="e">
        <v>#DIV/0!</v>
      </c>
      <c r="W25" s="21" t="e">
        <v>#DIV/0!</v>
      </c>
      <c r="X25" s="22" t="e">
        <v>#DIV/0!</v>
      </c>
      <c r="Y25" s="10" t="e">
        <v>#DIV/0!</v>
      </c>
      <c r="Z25" s="10" t="e">
        <v>#DIV/0!</v>
      </c>
      <c r="AA25" s="10">
        <v>0</v>
      </c>
      <c r="AB25" s="22">
        <v>0</v>
      </c>
      <c r="AC25" s="10" t="e">
        <v>#DIV/0!</v>
      </c>
      <c r="AD25" s="22" t="e">
        <v>#DIV/0!</v>
      </c>
      <c r="AE25" s="10" t="e">
        <v>#DIV/0!</v>
      </c>
      <c r="AF25" s="16">
        <v>0</v>
      </c>
      <c r="AG25" s="23">
        <f>AG34/AG40/8</f>
        <v>119.43248078452162</v>
      </c>
    </row>
    <row r="26" spans="1:33" x14ac:dyDescent="0.35">
      <c r="A26" s="52"/>
      <c r="B26" s="8" t="s">
        <v>43</v>
      </c>
      <c r="C26" s="10">
        <v>277</v>
      </c>
      <c r="D26" s="10">
        <v>150</v>
      </c>
      <c r="E26" s="10">
        <v>0</v>
      </c>
      <c r="F26" s="10">
        <v>0</v>
      </c>
      <c r="G26" s="10">
        <v>78</v>
      </c>
      <c r="H26" s="10">
        <v>327</v>
      </c>
      <c r="I26" s="10">
        <v>149</v>
      </c>
      <c r="J26" s="10">
        <v>570</v>
      </c>
      <c r="K26" s="10">
        <v>251</v>
      </c>
      <c r="L26" s="10">
        <v>90</v>
      </c>
      <c r="M26" s="10">
        <v>0</v>
      </c>
      <c r="N26" s="10">
        <v>84</v>
      </c>
      <c r="O26" s="10">
        <v>159</v>
      </c>
      <c r="P26" s="10">
        <v>655</v>
      </c>
      <c r="Q26" s="10">
        <v>289</v>
      </c>
      <c r="R26" s="10">
        <v>271</v>
      </c>
      <c r="S26" s="10">
        <v>331</v>
      </c>
      <c r="T26" s="20">
        <v>608</v>
      </c>
      <c r="U26" s="10">
        <v>659</v>
      </c>
      <c r="V26" s="16">
        <v>722</v>
      </c>
      <c r="W26" s="21">
        <v>172</v>
      </c>
      <c r="X26" s="22">
        <v>253</v>
      </c>
      <c r="Y26" s="10">
        <v>287</v>
      </c>
      <c r="Z26" s="10">
        <v>387</v>
      </c>
      <c r="AA26" s="10">
        <v>457</v>
      </c>
      <c r="AB26" s="22">
        <v>362</v>
      </c>
      <c r="AC26" s="10">
        <v>0</v>
      </c>
      <c r="AD26" s="22">
        <v>0</v>
      </c>
      <c r="AE26" s="10">
        <v>0</v>
      </c>
      <c r="AF26" s="16">
        <v>0</v>
      </c>
      <c r="AG26" s="23">
        <f>SUM(C26:AF26)</f>
        <v>7588</v>
      </c>
    </row>
    <row r="27" spans="1:33" x14ac:dyDescent="0.35">
      <c r="A27" s="52"/>
      <c r="B27" s="8" t="s">
        <v>44</v>
      </c>
      <c r="C27" s="64">
        <v>0.16209999999999999</v>
      </c>
      <c r="D27" s="65">
        <v>0.16159999999999999</v>
      </c>
      <c r="E27" s="64">
        <v>0.1656</v>
      </c>
      <c r="F27" s="64">
        <v>0.18149999999999999</v>
      </c>
      <c r="G27" s="64">
        <v>0.17349999999999999</v>
      </c>
      <c r="H27" s="64">
        <v>0.18229999999999999</v>
      </c>
      <c r="I27" s="64">
        <v>0.16930000000000001</v>
      </c>
      <c r="J27" s="64">
        <v>0.1699</v>
      </c>
      <c r="K27" s="64">
        <v>0.1716</v>
      </c>
      <c r="L27" s="64">
        <v>0.17680000000000001</v>
      </c>
      <c r="M27" s="64">
        <v>0.18720000000000001</v>
      </c>
      <c r="N27" s="64">
        <v>0.17230000000000001</v>
      </c>
      <c r="O27" s="64">
        <v>0.16339999999999999</v>
      </c>
      <c r="P27" s="64">
        <v>0.1694</v>
      </c>
      <c r="Q27" s="66">
        <v>0.15740000000000001</v>
      </c>
      <c r="R27" s="64">
        <v>0.15490000000000001</v>
      </c>
      <c r="S27" s="64">
        <v>0.15909999999999999</v>
      </c>
      <c r="T27" s="67">
        <v>0.15559999999999999</v>
      </c>
      <c r="U27" s="64">
        <v>0.17069999999999999</v>
      </c>
      <c r="V27" s="68">
        <v>0.15340000000000001</v>
      </c>
      <c r="W27" s="69">
        <v>0.16550000000000001</v>
      </c>
      <c r="X27" s="70">
        <v>0.1628</v>
      </c>
      <c r="Y27" s="64">
        <v>0.1608</v>
      </c>
      <c r="Z27" s="64" t="s">
        <v>45</v>
      </c>
      <c r="AA27" s="64">
        <v>0.15770000000000001</v>
      </c>
      <c r="AB27" s="70">
        <v>0.15570000000000001</v>
      </c>
      <c r="AC27" s="64">
        <v>0.16370000000000001</v>
      </c>
      <c r="AD27" s="70">
        <v>0.1527</v>
      </c>
      <c r="AE27" s="64">
        <v>0.15179999999999999</v>
      </c>
      <c r="AF27" s="64">
        <v>0.15329999999999999</v>
      </c>
      <c r="AG27" s="38">
        <f>+AVERAGEIF(C27:AF27,"&gt;0")</f>
        <v>0.16488275862068968</v>
      </c>
    </row>
    <row r="28" spans="1:33" x14ac:dyDescent="0.35">
      <c r="A28" s="52"/>
      <c r="B28" s="8" t="s">
        <v>46</v>
      </c>
      <c r="C28" s="64">
        <v>3.6299999999999999E-2</v>
      </c>
      <c r="D28" s="71">
        <v>3.5700000000000003E-2</v>
      </c>
      <c r="E28" s="72">
        <v>3.6499999999999998E-2</v>
      </c>
      <c r="F28" s="64">
        <v>3.5999999999999997E-2</v>
      </c>
      <c r="G28" s="64">
        <v>3.6200000000000003E-2</v>
      </c>
      <c r="H28" s="64">
        <v>3.6799999999999999E-2</v>
      </c>
      <c r="I28" s="64">
        <v>3.61E-2</v>
      </c>
      <c r="J28" s="64">
        <v>3.5099999999999999E-2</v>
      </c>
      <c r="K28" s="64">
        <v>3.6299999999999999E-2</v>
      </c>
      <c r="L28" s="64">
        <v>3.56E-2</v>
      </c>
      <c r="M28" s="64">
        <v>3.6700000000000003E-2</v>
      </c>
      <c r="N28" s="64">
        <v>3.6700000000000003E-2</v>
      </c>
      <c r="O28" s="64">
        <v>3.6200000000000003E-2</v>
      </c>
      <c r="P28" s="64">
        <v>3.5799999999999998E-2</v>
      </c>
      <c r="Q28" s="72">
        <v>3.5400000000000001E-2</v>
      </c>
      <c r="R28" s="64">
        <v>3.5900000000000001E-2</v>
      </c>
      <c r="S28" s="64">
        <v>3.5299999999999998E-2</v>
      </c>
      <c r="T28" s="73">
        <v>3.5900000000000001E-2</v>
      </c>
      <c r="U28" s="64">
        <v>3.5999999999999997E-2</v>
      </c>
      <c r="V28" s="74">
        <v>3.6299999999999999E-2</v>
      </c>
      <c r="W28" s="69">
        <v>3.56E-2</v>
      </c>
      <c r="X28" s="70">
        <v>3.5999999999999997E-2</v>
      </c>
      <c r="Y28" s="64">
        <v>3.5999999999999997E-2</v>
      </c>
      <c r="Z28" s="64">
        <v>3.6600000000000001E-2</v>
      </c>
      <c r="AA28" s="64">
        <v>3.6600000000000001E-2</v>
      </c>
      <c r="AB28" s="70">
        <v>3.5299999999999998E-2</v>
      </c>
      <c r="AC28" s="64">
        <v>3.6200000000000003E-2</v>
      </c>
      <c r="AD28" s="70">
        <v>3.44E-2</v>
      </c>
      <c r="AE28" s="64">
        <v>3.7199999999999997E-2</v>
      </c>
      <c r="AF28" s="68">
        <v>3.6700000000000003E-2</v>
      </c>
      <c r="AG28" s="38">
        <f>+AVERAGEIF(C28:AF28,"&gt;0")</f>
        <v>3.6046666666666671E-2</v>
      </c>
    </row>
    <row r="29" spans="1:33" x14ac:dyDescent="0.35">
      <c r="A29" s="52"/>
      <c r="B29" s="8" t="s">
        <v>47</v>
      </c>
      <c r="C29" s="64">
        <v>0</v>
      </c>
      <c r="D29" s="64">
        <v>0</v>
      </c>
      <c r="E29" s="75">
        <v>0</v>
      </c>
      <c r="F29" s="64">
        <v>0</v>
      </c>
      <c r="G29" s="64">
        <v>5.5300000000000002E-2</v>
      </c>
      <c r="H29" s="64">
        <v>5.5100000000000003E-2</v>
      </c>
      <c r="I29" s="64">
        <v>0</v>
      </c>
      <c r="J29" s="64">
        <v>5.5100000000000003E-2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5.5300000000000002E-2</v>
      </c>
      <c r="Q29" s="72">
        <v>5.4800000000000001E-2</v>
      </c>
      <c r="R29" s="64">
        <v>0</v>
      </c>
      <c r="S29" s="64">
        <v>5.4600000000000003E-2</v>
      </c>
      <c r="T29" s="73">
        <v>5.5300000000000002E-2</v>
      </c>
      <c r="U29" s="64">
        <v>5.5399999999999998E-2</v>
      </c>
      <c r="V29" s="74">
        <v>5.5399999999999998E-2</v>
      </c>
      <c r="W29" s="69">
        <v>0</v>
      </c>
      <c r="X29" s="70">
        <v>0</v>
      </c>
      <c r="Y29" s="64">
        <v>0</v>
      </c>
      <c r="Z29" s="64">
        <v>0</v>
      </c>
      <c r="AA29" s="64">
        <v>0</v>
      </c>
      <c r="AB29" s="70">
        <v>5.5399999999999998E-2</v>
      </c>
      <c r="AC29" s="64">
        <v>0</v>
      </c>
      <c r="AD29" s="70">
        <v>0</v>
      </c>
      <c r="AE29" s="64">
        <v>0</v>
      </c>
      <c r="AF29" s="68">
        <v>0</v>
      </c>
      <c r="AG29" s="38">
        <f>+AVERAGEIF(C29:AF29,"&gt;0")</f>
        <v>5.5169999999999997E-2</v>
      </c>
    </row>
    <row r="30" spans="1:33" x14ac:dyDescent="0.35">
      <c r="A30" s="52"/>
      <c r="B30" s="8" t="s">
        <v>48</v>
      </c>
      <c r="C30" s="76">
        <v>0</v>
      </c>
      <c r="D30" s="76">
        <v>0</v>
      </c>
      <c r="E30" s="72">
        <v>3.6700000000000003E-2</v>
      </c>
      <c r="F30" s="76">
        <v>0</v>
      </c>
      <c r="G30" s="64">
        <v>0</v>
      </c>
      <c r="H30" s="77">
        <v>3.7499999999999999E-2</v>
      </c>
      <c r="I30" s="77">
        <v>0</v>
      </c>
      <c r="J30" s="76">
        <v>0</v>
      </c>
      <c r="K30" s="76">
        <v>0</v>
      </c>
      <c r="L30" s="78">
        <v>0</v>
      </c>
      <c r="M30" s="79">
        <v>0</v>
      </c>
      <c r="N30" s="76">
        <v>0</v>
      </c>
      <c r="O30" s="78">
        <v>3.7999999999999999E-2</v>
      </c>
      <c r="P30" s="76">
        <v>3.7499999999999999E-2</v>
      </c>
      <c r="Q30" s="72">
        <v>3.8199999999999998E-2</v>
      </c>
      <c r="R30" s="76">
        <v>0</v>
      </c>
      <c r="S30" s="76">
        <v>3.49E-2</v>
      </c>
      <c r="T30" s="73">
        <v>0</v>
      </c>
      <c r="U30" s="76">
        <v>0</v>
      </c>
      <c r="V30" s="74">
        <v>0</v>
      </c>
      <c r="W30" s="80">
        <v>0</v>
      </c>
      <c r="X30" s="81">
        <v>0</v>
      </c>
      <c r="Y30" s="76">
        <v>0</v>
      </c>
      <c r="Z30" s="76">
        <v>0</v>
      </c>
      <c r="AA30" s="76">
        <v>0</v>
      </c>
      <c r="AB30" s="81">
        <v>0</v>
      </c>
      <c r="AC30" s="76">
        <v>0</v>
      </c>
      <c r="AD30" s="81">
        <v>0</v>
      </c>
      <c r="AE30" s="76">
        <v>0</v>
      </c>
      <c r="AF30" s="16">
        <v>0</v>
      </c>
      <c r="AG30" s="38">
        <f>+AVERAGEIF(C30:AF30,"&gt;0")</f>
        <v>3.7133333333333331E-2</v>
      </c>
    </row>
    <row r="31" spans="1:33" ht="18.5" x14ac:dyDescent="0.45">
      <c r="A31" s="52"/>
      <c r="B31" s="8" t="s">
        <v>49</v>
      </c>
      <c r="C31" s="10">
        <v>8797</v>
      </c>
      <c r="D31" s="10">
        <v>9353</v>
      </c>
      <c r="E31" s="10">
        <v>9019</v>
      </c>
      <c r="F31" s="10">
        <v>7180</v>
      </c>
      <c r="G31" s="10">
        <v>7731</v>
      </c>
      <c r="H31" s="10">
        <v>8109</v>
      </c>
      <c r="I31" s="10">
        <v>5007</v>
      </c>
      <c r="J31" s="10">
        <v>7814</v>
      </c>
      <c r="K31" s="10">
        <v>7448</v>
      </c>
      <c r="L31" s="10">
        <v>6533</v>
      </c>
      <c r="M31" s="10">
        <v>6324</v>
      </c>
      <c r="N31" s="10">
        <v>7384</v>
      </c>
      <c r="O31" s="10">
        <v>8354</v>
      </c>
      <c r="P31" s="10">
        <v>7848</v>
      </c>
      <c r="Q31" s="10">
        <v>8415</v>
      </c>
      <c r="R31" s="10">
        <v>7823</v>
      </c>
      <c r="S31" s="10">
        <v>8847</v>
      </c>
      <c r="T31" s="60">
        <v>9279</v>
      </c>
      <c r="U31" s="10">
        <v>6560</v>
      </c>
      <c r="V31" s="82">
        <v>9194</v>
      </c>
      <c r="W31" s="21">
        <v>8456</v>
      </c>
      <c r="X31" s="22">
        <v>8510</v>
      </c>
      <c r="Y31" s="10">
        <v>7230</v>
      </c>
      <c r="Z31" s="10">
        <v>7934</v>
      </c>
      <c r="AA31" s="10">
        <v>8995</v>
      </c>
      <c r="AB31" s="22">
        <v>9591</v>
      </c>
      <c r="AC31" s="10">
        <v>3590</v>
      </c>
      <c r="AD31" s="22">
        <v>2851</v>
      </c>
      <c r="AE31" s="10">
        <v>6987</v>
      </c>
      <c r="AF31" s="16">
        <v>3241</v>
      </c>
      <c r="AG31" s="23">
        <f>SUM(C31:AF31)</f>
        <v>224404</v>
      </c>
    </row>
    <row r="32" spans="1:33" ht="15.5" x14ac:dyDescent="0.35">
      <c r="A32" s="52"/>
      <c r="B32" s="8" t="s">
        <v>50</v>
      </c>
      <c r="C32" s="76">
        <v>8797</v>
      </c>
      <c r="D32" s="76">
        <v>9353</v>
      </c>
      <c r="E32" s="76">
        <v>5869</v>
      </c>
      <c r="F32" s="76">
        <v>7180</v>
      </c>
      <c r="G32" s="76">
        <v>7310</v>
      </c>
      <c r="H32" s="76">
        <v>4080</v>
      </c>
      <c r="I32" s="76">
        <v>5007</v>
      </c>
      <c r="J32" s="76">
        <v>3814</v>
      </c>
      <c r="K32" s="76">
        <v>7448</v>
      </c>
      <c r="L32" s="76">
        <v>6533</v>
      </c>
      <c r="M32" s="76">
        <v>6324</v>
      </c>
      <c r="N32" s="76">
        <v>7384</v>
      </c>
      <c r="O32" s="76">
        <v>5110</v>
      </c>
      <c r="P32" s="76">
        <v>2640</v>
      </c>
      <c r="Q32" s="76">
        <v>6430</v>
      </c>
      <c r="R32" s="76">
        <v>7823</v>
      </c>
      <c r="S32" s="76">
        <v>5040</v>
      </c>
      <c r="T32" s="83">
        <v>0</v>
      </c>
      <c r="U32" s="76">
        <v>0</v>
      </c>
      <c r="V32" s="84">
        <v>0</v>
      </c>
      <c r="W32" s="80">
        <v>0</v>
      </c>
      <c r="X32" s="81">
        <v>0</v>
      </c>
      <c r="Y32" s="76">
        <v>0</v>
      </c>
      <c r="Z32" s="10"/>
      <c r="AA32" s="10">
        <v>8995</v>
      </c>
      <c r="AB32" s="22">
        <v>0</v>
      </c>
      <c r="AC32" s="10">
        <v>3590</v>
      </c>
      <c r="AD32" s="22">
        <v>0</v>
      </c>
      <c r="AE32" s="10">
        <v>6987</v>
      </c>
      <c r="AF32" s="16">
        <v>3241</v>
      </c>
      <c r="AG32" s="23">
        <f>SUM(C32:AF32)</f>
        <v>128955</v>
      </c>
    </row>
    <row r="33" spans="1:33" ht="15.5" x14ac:dyDescent="0.35">
      <c r="A33" s="52"/>
      <c r="B33" s="8"/>
      <c r="C33" s="76"/>
      <c r="D33" s="76"/>
      <c r="E33" s="85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83"/>
      <c r="U33" s="76"/>
      <c r="V33" s="84">
        <v>4810</v>
      </c>
      <c r="W33" s="80">
        <v>8456</v>
      </c>
      <c r="X33" s="81">
        <v>8510</v>
      </c>
      <c r="Y33" s="76">
        <v>7230</v>
      </c>
      <c r="Z33" s="10">
        <v>7934</v>
      </c>
      <c r="AA33" s="10">
        <v>0</v>
      </c>
      <c r="AB33" s="22">
        <v>9101</v>
      </c>
      <c r="AC33" s="10">
        <v>0</v>
      </c>
      <c r="AD33" s="22">
        <v>2851</v>
      </c>
      <c r="AE33" s="10">
        <v>0</v>
      </c>
      <c r="AF33" s="16">
        <v>0</v>
      </c>
      <c r="AG33" s="23"/>
    </row>
    <row r="34" spans="1:33" ht="15.5" x14ac:dyDescent="0.35">
      <c r="A34" s="52"/>
      <c r="B34" s="8" t="s">
        <v>51</v>
      </c>
      <c r="C34" s="76">
        <v>0</v>
      </c>
      <c r="D34" s="76">
        <v>0</v>
      </c>
      <c r="E34" s="62">
        <v>0</v>
      </c>
      <c r="F34" s="76">
        <v>0</v>
      </c>
      <c r="G34" s="76">
        <v>500</v>
      </c>
      <c r="H34" s="76">
        <v>1670</v>
      </c>
      <c r="I34" s="76">
        <v>0</v>
      </c>
      <c r="J34" s="76">
        <v>4000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3450</v>
      </c>
      <c r="Q34" s="81">
        <v>580</v>
      </c>
      <c r="R34" s="76">
        <v>0</v>
      </c>
      <c r="S34" s="76">
        <v>780</v>
      </c>
      <c r="T34" s="86">
        <v>4429</v>
      </c>
      <c r="U34" s="76">
        <v>3750</v>
      </c>
      <c r="V34" s="87">
        <v>4384</v>
      </c>
      <c r="W34" s="80">
        <v>0</v>
      </c>
      <c r="X34" s="81">
        <v>0</v>
      </c>
      <c r="Y34" s="76">
        <v>0</v>
      </c>
      <c r="Z34" s="10">
        <v>0</v>
      </c>
      <c r="AA34" s="10">
        <v>0</v>
      </c>
      <c r="AB34" s="22">
        <v>490</v>
      </c>
      <c r="AC34" s="10">
        <v>0</v>
      </c>
      <c r="AD34" s="22">
        <v>0</v>
      </c>
      <c r="AE34" s="10">
        <v>0</v>
      </c>
      <c r="AF34" s="16">
        <v>0</v>
      </c>
      <c r="AG34" s="23">
        <f>SUM(C34:AF34)</f>
        <v>24033</v>
      </c>
    </row>
    <row r="35" spans="1:33" ht="18.5" x14ac:dyDescent="0.45">
      <c r="A35" s="52"/>
      <c r="B35" s="8" t="s">
        <v>52</v>
      </c>
      <c r="C35" s="76">
        <v>0</v>
      </c>
      <c r="D35" s="76">
        <v>0</v>
      </c>
      <c r="E35" s="88">
        <v>3150</v>
      </c>
      <c r="F35" s="76">
        <v>0</v>
      </c>
      <c r="G35" s="76">
        <v>0</v>
      </c>
      <c r="H35" s="76">
        <v>2359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3244</v>
      </c>
      <c r="P35" s="76">
        <v>1758</v>
      </c>
      <c r="Q35" s="88">
        <v>1405</v>
      </c>
      <c r="R35" s="76">
        <v>0</v>
      </c>
      <c r="S35" s="76">
        <v>0</v>
      </c>
      <c r="T35" s="89">
        <v>0</v>
      </c>
      <c r="U35" s="76">
        <v>0</v>
      </c>
      <c r="V35" s="90">
        <v>0</v>
      </c>
      <c r="W35" s="80">
        <v>0</v>
      </c>
      <c r="X35" s="81">
        <v>0</v>
      </c>
      <c r="Y35" s="76">
        <v>0</v>
      </c>
      <c r="Z35" s="10">
        <v>0</v>
      </c>
      <c r="AA35" s="10">
        <v>0</v>
      </c>
      <c r="AB35" s="22">
        <v>0</v>
      </c>
      <c r="AC35" s="10">
        <v>0</v>
      </c>
      <c r="AD35" s="22">
        <v>0</v>
      </c>
      <c r="AE35" s="10">
        <v>0</v>
      </c>
      <c r="AF35" s="16">
        <v>0</v>
      </c>
      <c r="AG35" s="23">
        <f>+SUM(C35:AF35)</f>
        <v>11916</v>
      </c>
    </row>
    <row r="36" spans="1:33" ht="18.5" x14ac:dyDescent="0.45">
      <c r="A36" s="58"/>
      <c r="B36" s="8" t="s">
        <v>53</v>
      </c>
      <c r="C36" s="76">
        <v>0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3027</v>
      </c>
      <c r="T36" s="89">
        <v>0</v>
      </c>
      <c r="U36" s="76">
        <v>0</v>
      </c>
      <c r="V36" s="90">
        <v>0</v>
      </c>
      <c r="W36" s="80">
        <v>0</v>
      </c>
      <c r="X36" s="81">
        <v>0</v>
      </c>
      <c r="Y36" s="76">
        <v>0</v>
      </c>
      <c r="Z36" s="10">
        <v>0</v>
      </c>
      <c r="AA36" s="10">
        <v>0</v>
      </c>
      <c r="AB36" s="22">
        <v>0</v>
      </c>
      <c r="AC36" s="10">
        <v>0</v>
      </c>
      <c r="AD36" s="22">
        <v>0</v>
      </c>
      <c r="AE36" s="10">
        <v>0</v>
      </c>
      <c r="AF36" s="16">
        <v>0</v>
      </c>
      <c r="AG36" s="23">
        <f>+SUM(C36:AF36)</f>
        <v>3027</v>
      </c>
    </row>
    <row r="37" spans="1:33" ht="15.5" x14ac:dyDescent="0.35">
      <c r="A37" s="91" t="s">
        <v>54</v>
      </c>
      <c r="B37" s="8" t="s">
        <v>29</v>
      </c>
      <c r="C37" s="92">
        <v>21.333333333333332</v>
      </c>
      <c r="D37" s="92">
        <v>22.75</v>
      </c>
      <c r="E37" s="93">
        <v>22.5</v>
      </c>
      <c r="F37" s="92">
        <v>21</v>
      </c>
      <c r="G37" s="76">
        <v>22.583333333333332</v>
      </c>
      <c r="H37" s="92">
        <v>20.5</v>
      </c>
      <c r="I37" s="92">
        <v>13.5</v>
      </c>
      <c r="J37" s="92">
        <v>19.750000000000004</v>
      </c>
      <c r="K37" s="94">
        <v>20.083333333333332</v>
      </c>
      <c r="L37" s="76">
        <v>19.166666666666668</v>
      </c>
      <c r="M37" s="76">
        <v>20</v>
      </c>
      <c r="N37" s="76">
        <v>20.666666666666671</v>
      </c>
      <c r="O37" s="76">
        <v>19.083333333333332</v>
      </c>
      <c r="P37" s="76">
        <v>19</v>
      </c>
      <c r="Q37" s="93">
        <v>19.999999999999996</v>
      </c>
      <c r="R37" s="92">
        <v>19.333333333333332</v>
      </c>
      <c r="S37" s="92">
        <v>20.833333333333336</v>
      </c>
      <c r="T37" s="95">
        <v>20.166666666666668</v>
      </c>
      <c r="U37" s="94">
        <v>17.083333333333336</v>
      </c>
      <c r="V37" s="96">
        <v>20.333333333333336</v>
      </c>
      <c r="W37" s="97">
        <v>20.25</v>
      </c>
      <c r="X37" s="81">
        <v>20.166666666666668</v>
      </c>
      <c r="Y37" s="76">
        <v>17.583333333333336</v>
      </c>
      <c r="Z37" s="10">
        <v>20.833333333333332</v>
      </c>
      <c r="AA37" s="10">
        <v>22.25</v>
      </c>
      <c r="AB37" s="22">
        <v>23.666666666666671</v>
      </c>
      <c r="AC37" s="10">
        <v>9.25</v>
      </c>
      <c r="AD37" s="48">
        <v>6.4166666666666696</v>
      </c>
      <c r="AE37" s="10">
        <v>16</v>
      </c>
      <c r="AF37" s="16">
        <v>7.833333333333333</v>
      </c>
      <c r="AG37" s="98">
        <f>SUM(C37:AF37)</f>
        <v>563.91666666666652</v>
      </c>
    </row>
    <row r="38" spans="1:33" x14ac:dyDescent="0.35">
      <c r="A38" s="91"/>
      <c r="B38" s="8" t="s">
        <v>55</v>
      </c>
      <c r="C38" s="92">
        <v>21.33</v>
      </c>
      <c r="D38" s="92">
        <v>22.75</v>
      </c>
      <c r="E38" s="93">
        <v>15.5</v>
      </c>
      <c r="F38" s="92">
        <v>21</v>
      </c>
      <c r="G38" s="76">
        <v>21.43</v>
      </c>
      <c r="H38" s="92">
        <v>12</v>
      </c>
      <c r="I38" s="92">
        <v>13.5</v>
      </c>
      <c r="J38" s="92">
        <v>11.05</v>
      </c>
      <c r="K38" s="94">
        <v>20.083333333333332</v>
      </c>
      <c r="L38" s="76">
        <v>19.166666666666668</v>
      </c>
      <c r="M38" s="76">
        <v>20</v>
      </c>
      <c r="N38" s="76">
        <v>20.666666666666671</v>
      </c>
      <c r="O38" s="76">
        <v>12.783333333333331</v>
      </c>
      <c r="P38" s="76">
        <v>8</v>
      </c>
      <c r="Q38" s="93">
        <v>15.5</v>
      </c>
      <c r="R38" s="92">
        <v>19.329999999999998</v>
      </c>
      <c r="S38" s="92">
        <v>12.5</v>
      </c>
      <c r="T38" s="99">
        <v>10.88</v>
      </c>
      <c r="U38" s="94">
        <v>7.7</v>
      </c>
      <c r="V38" s="100">
        <v>10.199999999999999</v>
      </c>
      <c r="W38" s="80">
        <v>20.25</v>
      </c>
      <c r="X38" s="101">
        <v>20.170000000000002</v>
      </c>
      <c r="Y38" s="76">
        <v>17.579999999999998</v>
      </c>
      <c r="Z38" s="10">
        <v>13</v>
      </c>
      <c r="AA38" s="10">
        <v>12.7</v>
      </c>
      <c r="AB38" s="22">
        <v>22.65</v>
      </c>
      <c r="AC38" s="10">
        <v>9.25</v>
      </c>
      <c r="AD38" s="48">
        <v>6.42</v>
      </c>
      <c r="AE38" s="10">
        <v>16</v>
      </c>
      <c r="AF38" s="16">
        <v>7.83</v>
      </c>
      <c r="AG38" s="98">
        <f>SUM(C38:AF38)</f>
        <v>461.21999999999997</v>
      </c>
    </row>
    <row r="39" spans="1:33" x14ac:dyDescent="0.35">
      <c r="A39" s="91"/>
      <c r="B39" s="8" t="s">
        <v>56</v>
      </c>
      <c r="C39" s="92">
        <v>0</v>
      </c>
      <c r="D39" s="92">
        <v>0</v>
      </c>
      <c r="E39" s="93">
        <v>0</v>
      </c>
      <c r="F39" s="92">
        <v>0</v>
      </c>
      <c r="G39" s="92">
        <v>1.1499999999999999</v>
      </c>
      <c r="H39" s="92">
        <v>3.8</v>
      </c>
      <c r="I39" s="92">
        <v>0</v>
      </c>
      <c r="J39" s="92">
        <v>8.6999999999999993</v>
      </c>
      <c r="K39" s="92">
        <v>0</v>
      </c>
      <c r="L39" s="92">
        <v>0</v>
      </c>
      <c r="M39" s="92">
        <v>0</v>
      </c>
      <c r="N39" s="92">
        <v>0</v>
      </c>
      <c r="O39" s="76">
        <v>0</v>
      </c>
      <c r="P39" s="76">
        <v>7</v>
      </c>
      <c r="Q39" s="93">
        <v>1.35</v>
      </c>
      <c r="R39" s="92">
        <v>0</v>
      </c>
      <c r="S39" s="92">
        <v>1.82</v>
      </c>
      <c r="T39" s="99">
        <v>9.2866666666666671</v>
      </c>
      <c r="U39" s="94">
        <v>9.3833333333333364</v>
      </c>
      <c r="V39" s="100">
        <v>10.133333333333336</v>
      </c>
      <c r="W39" s="97">
        <v>0</v>
      </c>
      <c r="X39" s="101">
        <v>0</v>
      </c>
      <c r="Y39" s="76">
        <v>0</v>
      </c>
      <c r="Z39" s="10">
        <v>7.8333333333333321</v>
      </c>
      <c r="AA39" s="10">
        <v>9.5500000000000007</v>
      </c>
      <c r="AB39" s="22">
        <v>1.0166666666666728</v>
      </c>
      <c r="AC39" s="10">
        <v>0</v>
      </c>
      <c r="AD39" s="48">
        <v>-3.3333333333303017E-3</v>
      </c>
      <c r="AE39" s="10">
        <v>0</v>
      </c>
      <c r="AF39" s="16">
        <v>3.3333333333329662E-3</v>
      </c>
      <c r="AG39" s="98">
        <f>SUM(C39:AF39)</f>
        <v>71.023333333333341</v>
      </c>
    </row>
    <row r="40" spans="1:33" x14ac:dyDescent="0.35">
      <c r="A40" s="91"/>
      <c r="B40" s="8" t="s">
        <v>57</v>
      </c>
      <c r="C40" s="92">
        <v>0</v>
      </c>
      <c r="D40" s="92">
        <v>0</v>
      </c>
      <c r="E40" s="93">
        <v>7</v>
      </c>
      <c r="F40" s="92">
        <v>0</v>
      </c>
      <c r="G40" s="92">
        <v>0</v>
      </c>
      <c r="H40" s="92">
        <v>4.7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2">
        <v>0</v>
      </c>
      <c r="O40" s="76">
        <v>6.3</v>
      </c>
      <c r="P40" s="76">
        <v>4</v>
      </c>
      <c r="Q40" s="93">
        <v>3.1499999999999964</v>
      </c>
      <c r="R40" s="92">
        <v>3.3333333333338544E-3</v>
      </c>
      <c r="S40" s="92">
        <v>0</v>
      </c>
      <c r="T40" s="99">
        <v>0</v>
      </c>
      <c r="U40" s="94">
        <v>0</v>
      </c>
      <c r="V40" s="100">
        <v>0</v>
      </c>
      <c r="W40" s="97">
        <v>0</v>
      </c>
      <c r="X40" s="101">
        <v>0</v>
      </c>
      <c r="Y40" s="76">
        <v>0</v>
      </c>
      <c r="Z40" s="10">
        <v>0</v>
      </c>
      <c r="AA40" s="10">
        <v>0</v>
      </c>
      <c r="AB40" s="47">
        <v>0</v>
      </c>
      <c r="AC40" s="41">
        <v>0</v>
      </c>
      <c r="AD40" s="48">
        <v>0</v>
      </c>
      <c r="AE40" s="41">
        <v>0</v>
      </c>
      <c r="AF40" s="16">
        <v>0</v>
      </c>
      <c r="AG40" s="98">
        <f>SUM(C40:AF40)</f>
        <v>25.153333333333329</v>
      </c>
    </row>
    <row r="41" spans="1:33" x14ac:dyDescent="0.35">
      <c r="A41" s="91"/>
      <c r="B41" s="8" t="s">
        <v>58</v>
      </c>
      <c r="C41" s="92"/>
      <c r="D41" s="92"/>
      <c r="E41" s="93"/>
      <c r="F41" s="92"/>
      <c r="G41" s="92"/>
      <c r="H41" s="92"/>
      <c r="I41" s="92"/>
      <c r="J41" s="92"/>
      <c r="K41" s="92"/>
      <c r="L41" s="92"/>
      <c r="M41" s="92"/>
      <c r="N41" s="92"/>
      <c r="O41" s="76"/>
      <c r="P41" s="76"/>
      <c r="Q41" s="93"/>
      <c r="R41" s="92">
        <v>0</v>
      </c>
      <c r="S41" s="92">
        <v>6.5133333333333354</v>
      </c>
      <c r="T41" s="99">
        <v>0</v>
      </c>
      <c r="U41" s="94">
        <v>0</v>
      </c>
      <c r="V41" s="100">
        <v>0</v>
      </c>
      <c r="W41" s="97">
        <v>0</v>
      </c>
      <c r="X41" s="101">
        <v>0</v>
      </c>
      <c r="Y41" s="76">
        <v>0</v>
      </c>
      <c r="Z41" s="10">
        <v>0</v>
      </c>
      <c r="AA41" s="10">
        <v>0</v>
      </c>
      <c r="AB41" s="47">
        <v>0</v>
      </c>
      <c r="AC41" s="41">
        <v>0</v>
      </c>
      <c r="AD41" s="48">
        <v>0</v>
      </c>
      <c r="AE41" s="41">
        <v>0</v>
      </c>
      <c r="AF41" s="16">
        <v>0</v>
      </c>
      <c r="AG41" s="98">
        <f>SUM(C41:AF41)</f>
        <v>6.5133333333333354</v>
      </c>
    </row>
    <row r="42" spans="1:33" x14ac:dyDescent="0.35">
      <c r="A42" s="91"/>
      <c r="B42" s="8" t="s">
        <v>59</v>
      </c>
      <c r="C42" s="41">
        <v>22.416666666666668</v>
      </c>
      <c r="D42" s="41">
        <v>23.583333333333332</v>
      </c>
      <c r="E42" s="102">
        <v>23.000000000000004</v>
      </c>
      <c r="F42" s="41">
        <v>22.250000000000004</v>
      </c>
      <c r="G42" s="41">
        <v>23.083333333333336</v>
      </c>
      <c r="H42" s="41">
        <v>20.666666666666668</v>
      </c>
      <c r="I42" s="41">
        <v>13.5</v>
      </c>
      <c r="J42" s="41">
        <v>22.5</v>
      </c>
      <c r="K42" s="41">
        <v>23.333333333333336</v>
      </c>
      <c r="L42" s="41">
        <v>22</v>
      </c>
      <c r="M42" s="41">
        <v>23.25</v>
      </c>
      <c r="N42" s="41">
        <v>23.666666666666668</v>
      </c>
      <c r="O42" s="41">
        <v>22</v>
      </c>
      <c r="P42" s="41">
        <v>22</v>
      </c>
      <c r="Q42" s="102">
        <v>22.583333333333336</v>
      </c>
      <c r="R42" s="41">
        <v>22.166666666666668</v>
      </c>
      <c r="S42" s="41">
        <v>23.833333333333336</v>
      </c>
      <c r="T42" s="103">
        <v>23.750000000000004</v>
      </c>
      <c r="U42" s="41">
        <v>22.583333333333336</v>
      </c>
      <c r="V42" s="104">
        <v>23.5</v>
      </c>
      <c r="W42" s="54">
        <v>23.583333333333332</v>
      </c>
      <c r="X42" s="48">
        <v>22.916666666666668</v>
      </c>
      <c r="Y42" s="41">
        <v>21.166666666666668</v>
      </c>
      <c r="Z42" s="41">
        <v>23.916666666666668</v>
      </c>
      <c r="AA42" s="41">
        <v>23.083333333333336</v>
      </c>
      <c r="AB42" s="48">
        <v>23.666666666666668</v>
      </c>
      <c r="AC42" s="41">
        <v>9.75</v>
      </c>
      <c r="AD42" s="48">
        <v>6.4166666666666679</v>
      </c>
      <c r="AE42" s="41">
        <v>18.333333333333332</v>
      </c>
      <c r="AF42" s="16">
        <v>7.3333333333333313</v>
      </c>
      <c r="AG42" s="98">
        <f>SUM(C42:AF42)</f>
        <v>625.83333333333326</v>
      </c>
    </row>
    <row r="43" spans="1:33" x14ac:dyDescent="0.35">
      <c r="A43" s="91"/>
      <c r="B43" s="8" t="s">
        <v>60</v>
      </c>
      <c r="C43" s="41">
        <v>17.166666666666668</v>
      </c>
      <c r="D43" s="41">
        <v>23.416666666666668</v>
      </c>
      <c r="E43" s="102">
        <v>22.833333333333332</v>
      </c>
      <c r="F43" s="41">
        <v>21.75</v>
      </c>
      <c r="G43" s="41">
        <v>23.083333333333336</v>
      </c>
      <c r="H43" s="41">
        <v>20.333333333333336</v>
      </c>
      <c r="I43" s="41">
        <v>13.833333333333332</v>
      </c>
      <c r="J43" s="41">
        <v>22.5</v>
      </c>
      <c r="K43" s="41">
        <v>22.333333333333336</v>
      </c>
      <c r="L43" s="41">
        <v>21.833333333333336</v>
      </c>
      <c r="M43" s="41">
        <v>22.833333333333332</v>
      </c>
      <c r="N43" s="41">
        <v>23.666666666666668</v>
      </c>
      <c r="O43" s="41">
        <v>21.833333333333336</v>
      </c>
      <c r="P43" s="41">
        <v>21.916666666666668</v>
      </c>
      <c r="Q43" s="102">
        <v>22.833333333333332</v>
      </c>
      <c r="R43" s="41">
        <v>22.166666666666668</v>
      </c>
      <c r="S43" s="41">
        <v>23.833333333333336</v>
      </c>
      <c r="T43" s="103">
        <v>23.750000000000004</v>
      </c>
      <c r="U43" s="41">
        <v>22.75</v>
      </c>
      <c r="V43" s="104">
        <v>23.5</v>
      </c>
      <c r="W43" s="54">
        <v>23.583333333333332</v>
      </c>
      <c r="X43" s="48">
        <v>23.416666666666668</v>
      </c>
      <c r="Y43" s="41">
        <v>19.666666666666668</v>
      </c>
      <c r="Z43" s="41">
        <v>23.750000000000004</v>
      </c>
      <c r="AA43" s="41">
        <v>23.25</v>
      </c>
      <c r="AB43" s="48">
        <v>23.666666666666668</v>
      </c>
      <c r="AC43" s="41">
        <v>9.1666666666666661</v>
      </c>
      <c r="AD43" s="48">
        <v>6.4166666666666679</v>
      </c>
      <c r="AE43" s="41">
        <v>18.25</v>
      </c>
      <c r="AF43" s="16">
        <v>7.3333333333333313</v>
      </c>
      <c r="AG43" s="98">
        <f>SUM(C43:AF43)</f>
        <v>616.66666666666663</v>
      </c>
    </row>
    <row r="44" spans="1:33" x14ac:dyDescent="0.35">
      <c r="A44" s="91"/>
      <c r="B44" s="8" t="s">
        <v>61</v>
      </c>
      <c r="C44" s="41">
        <v>22</v>
      </c>
      <c r="D44" s="41">
        <v>23.000000000000004</v>
      </c>
      <c r="E44" s="102">
        <v>21.75</v>
      </c>
      <c r="F44" s="41">
        <v>19.333333333333336</v>
      </c>
      <c r="G44" s="41">
        <v>21.25</v>
      </c>
      <c r="H44" s="41">
        <v>21</v>
      </c>
      <c r="I44" s="41">
        <v>13.5</v>
      </c>
      <c r="J44" s="41">
        <v>22.666666666666668</v>
      </c>
      <c r="K44" s="41">
        <v>22.583333333333336</v>
      </c>
      <c r="L44" s="41">
        <v>21.833333333333336</v>
      </c>
      <c r="M44" s="41">
        <v>23.000000000000004</v>
      </c>
      <c r="N44" s="41">
        <v>24</v>
      </c>
      <c r="O44" s="41">
        <v>21.833333333333336</v>
      </c>
      <c r="P44" s="41">
        <v>21.583333333333336</v>
      </c>
      <c r="Q44" s="102">
        <v>22.833333333333332</v>
      </c>
      <c r="R44" s="41">
        <v>22.166666666666668</v>
      </c>
      <c r="S44" s="41">
        <v>23.833333333333336</v>
      </c>
      <c r="T44" s="103">
        <v>19.166666666666668</v>
      </c>
      <c r="U44" s="41">
        <v>22.583333333333336</v>
      </c>
      <c r="V44" s="104">
        <v>23.5</v>
      </c>
      <c r="W44" s="54">
        <v>23.5</v>
      </c>
      <c r="X44" s="48">
        <v>23.333333333333336</v>
      </c>
      <c r="Y44" s="41">
        <v>19.583333333333336</v>
      </c>
      <c r="Z44" s="41">
        <v>24</v>
      </c>
      <c r="AA44" s="41">
        <v>23.25</v>
      </c>
      <c r="AB44" s="48">
        <v>23.5</v>
      </c>
      <c r="AC44" s="41">
        <v>6.9999999999999991</v>
      </c>
      <c r="AD44" s="48">
        <v>6.4166666666666679</v>
      </c>
      <c r="AE44" s="41">
        <v>15.416666666666668</v>
      </c>
      <c r="AF44" s="16">
        <v>8.0000000000000018</v>
      </c>
      <c r="AG44" s="98">
        <f>SUM(C44:AF44)</f>
        <v>607.41666666666652</v>
      </c>
    </row>
    <row r="45" spans="1:33" x14ac:dyDescent="0.35">
      <c r="A45" s="91"/>
      <c r="B45" s="8" t="s">
        <v>62</v>
      </c>
      <c r="C45" s="41">
        <v>22.250000000000004</v>
      </c>
      <c r="D45" s="41">
        <v>21.75</v>
      </c>
      <c r="E45" s="102">
        <v>22.833333333333332</v>
      </c>
      <c r="F45" s="41">
        <v>20.750000000000004</v>
      </c>
      <c r="G45" s="41">
        <v>23.083333333333336</v>
      </c>
      <c r="H45" s="41">
        <v>19.916666666666668</v>
      </c>
      <c r="I45" s="41">
        <v>13.5</v>
      </c>
      <c r="J45" s="41">
        <v>22.666666666666668</v>
      </c>
      <c r="K45" s="41">
        <v>23.5</v>
      </c>
      <c r="L45" s="41">
        <v>21.833333333333336</v>
      </c>
      <c r="M45" s="41">
        <v>22</v>
      </c>
      <c r="N45" s="41">
        <v>23.666666666666668</v>
      </c>
      <c r="O45" s="41">
        <v>21.666666666666668</v>
      </c>
      <c r="P45" s="41">
        <v>21.916666666666668</v>
      </c>
      <c r="Q45" s="102">
        <v>23.000000000000004</v>
      </c>
      <c r="R45" s="41">
        <v>22</v>
      </c>
      <c r="S45" s="41">
        <v>23.750000000000004</v>
      </c>
      <c r="T45" s="103">
        <v>23.666666666666668</v>
      </c>
      <c r="U45" s="41">
        <v>20.000000000000004</v>
      </c>
      <c r="V45" s="104">
        <v>23.333333333333336</v>
      </c>
      <c r="W45" s="54">
        <v>22.666666666666668</v>
      </c>
      <c r="X45" s="48">
        <v>23.333333333333336</v>
      </c>
      <c r="Y45" s="41">
        <v>20.25</v>
      </c>
      <c r="Z45" s="41">
        <v>24</v>
      </c>
      <c r="AA45" s="41">
        <v>22.250000000000004</v>
      </c>
      <c r="AB45" s="48">
        <v>23.5</v>
      </c>
      <c r="AC45" s="41">
        <v>9.5000000000000018</v>
      </c>
      <c r="AD45" s="48">
        <v>6.4166666666666679</v>
      </c>
      <c r="AE45" s="41">
        <v>16.083333333333332</v>
      </c>
      <c r="AF45" s="16">
        <v>8.0000000000000018</v>
      </c>
      <c r="AG45" s="98">
        <f>SUM(C45:AF45)</f>
        <v>613.08333333333337</v>
      </c>
    </row>
    <row r="46" spans="1:33" x14ac:dyDescent="0.35">
      <c r="A46" s="91"/>
      <c r="B46" s="8" t="s">
        <v>63</v>
      </c>
      <c r="C46" s="41">
        <v>22.083333333333332</v>
      </c>
      <c r="D46" s="41">
        <v>22</v>
      </c>
      <c r="E46" s="102">
        <v>22.666666666666668</v>
      </c>
      <c r="F46" s="41">
        <v>21.166666666666668</v>
      </c>
      <c r="G46" s="41">
        <v>22.833333333333332</v>
      </c>
      <c r="H46" s="41">
        <v>21</v>
      </c>
      <c r="I46" s="41">
        <v>13.5</v>
      </c>
      <c r="J46" s="41">
        <v>21.75</v>
      </c>
      <c r="K46" s="41">
        <v>22.833333333333332</v>
      </c>
      <c r="L46" s="41">
        <v>21.833333333333336</v>
      </c>
      <c r="M46" s="41">
        <v>23.000000000000004</v>
      </c>
      <c r="N46" s="41">
        <v>23.5</v>
      </c>
      <c r="O46" s="41">
        <v>22</v>
      </c>
      <c r="P46" s="41">
        <v>21.833333333333336</v>
      </c>
      <c r="Q46" s="102">
        <v>22.833333333333332</v>
      </c>
      <c r="R46" s="41">
        <v>22</v>
      </c>
      <c r="S46" s="41">
        <v>23.750000000000004</v>
      </c>
      <c r="T46" s="103">
        <v>23.666666666666668</v>
      </c>
      <c r="U46" s="41">
        <v>13.416666666666664</v>
      </c>
      <c r="V46" s="104">
        <v>22.916666666666668</v>
      </c>
      <c r="W46" s="54">
        <v>22.5</v>
      </c>
      <c r="X46" s="48">
        <v>23.333333333333336</v>
      </c>
      <c r="Y46" s="41">
        <v>21.083333333333336</v>
      </c>
      <c r="Z46" s="41">
        <v>23.750000000000004</v>
      </c>
      <c r="AA46" s="41">
        <v>23.5</v>
      </c>
      <c r="AB46" s="48">
        <v>23.666666666666668</v>
      </c>
      <c r="AC46" s="41">
        <v>9.5000000000000018</v>
      </c>
      <c r="AD46" s="48">
        <v>6.4166666666666679</v>
      </c>
      <c r="AE46" s="41">
        <v>13.583333333333336</v>
      </c>
      <c r="AF46" s="16">
        <v>8.0000000000000018</v>
      </c>
      <c r="AG46" s="98">
        <f>SUM(C46:AF46)</f>
        <v>605.91666666666663</v>
      </c>
    </row>
    <row r="47" spans="1:33" x14ac:dyDescent="0.35">
      <c r="A47" s="91"/>
      <c r="B47" s="8" t="s">
        <v>64</v>
      </c>
      <c r="C47" s="41">
        <v>21.583333333333336</v>
      </c>
      <c r="D47" s="41">
        <v>22</v>
      </c>
      <c r="E47" s="102">
        <v>22</v>
      </c>
      <c r="F47" s="41">
        <v>20.25</v>
      </c>
      <c r="G47" s="41">
        <v>22.5</v>
      </c>
      <c r="H47" s="41">
        <v>20.833333333333336</v>
      </c>
      <c r="I47" s="41">
        <v>12.666666666666668</v>
      </c>
      <c r="J47" s="41">
        <v>21.333333333333332</v>
      </c>
      <c r="K47" s="41">
        <v>22.916666666666668</v>
      </c>
      <c r="L47" s="41">
        <v>22</v>
      </c>
      <c r="M47" s="41">
        <v>22.583333333333336</v>
      </c>
      <c r="N47" s="41">
        <v>23.000000000000004</v>
      </c>
      <c r="O47" s="41">
        <v>21.666666666666668</v>
      </c>
      <c r="P47" s="41">
        <v>21.500000000000004</v>
      </c>
      <c r="Q47" s="102">
        <v>22.75</v>
      </c>
      <c r="R47" s="41">
        <v>22</v>
      </c>
      <c r="S47" s="41">
        <v>23.833333333333336</v>
      </c>
      <c r="T47" s="103">
        <v>23.666666666666668</v>
      </c>
      <c r="U47" s="41">
        <v>12.333333333333332</v>
      </c>
      <c r="V47" s="104">
        <v>22.583333333333336</v>
      </c>
      <c r="W47" s="54">
        <v>22.916666666666668</v>
      </c>
      <c r="X47" s="48">
        <v>21.416666666666668</v>
      </c>
      <c r="Y47" s="41">
        <v>17.666666666666668</v>
      </c>
      <c r="Z47" s="41">
        <v>23.833333333333336</v>
      </c>
      <c r="AA47" s="41">
        <v>22.166666666666668</v>
      </c>
      <c r="AB47" s="48">
        <v>23.666666666666668</v>
      </c>
      <c r="AC47" s="41">
        <v>9.75</v>
      </c>
      <c r="AD47" s="48">
        <v>6.4166666666666679</v>
      </c>
      <c r="AE47" s="41">
        <v>15.166666666666666</v>
      </c>
      <c r="AF47" s="16">
        <v>8.0000000000000018</v>
      </c>
      <c r="AG47" s="98">
        <f>SUM(C47:AF47)</f>
        <v>594.99999999999989</v>
      </c>
    </row>
    <row r="48" spans="1:33" x14ac:dyDescent="0.35">
      <c r="A48" s="91"/>
      <c r="B48" s="8" t="s">
        <v>65</v>
      </c>
      <c r="C48" s="41">
        <v>20.416666666666668</v>
      </c>
      <c r="D48" s="41">
        <v>22.666666666666668</v>
      </c>
      <c r="E48" s="102">
        <v>21.916666666666668</v>
      </c>
      <c r="F48" s="41">
        <v>19.75</v>
      </c>
      <c r="G48" s="41">
        <v>21.500000000000004</v>
      </c>
      <c r="H48" s="41">
        <v>19.583333333333336</v>
      </c>
      <c r="I48" s="41">
        <v>13.666666666666666</v>
      </c>
      <c r="J48" s="41">
        <v>1.7499999999999991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102">
        <v>0</v>
      </c>
      <c r="R48" s="41">
        <v>0</v>
      </c>
      <c r="S48" s="41">
        <v>0</v>
      </c>
      <c r="T48" s="103">
        <v>0</v>
      </c>
      <c r="U48" s="105">
        <v>0</v>
      </c>
      <c r="V48" s="104">
        <v>0</v>
      </c>
      <c r="W48" s="54">
        <v>0</v>
      </c>
      <c r="X48" s="48">
        <v>0</v>
      </c>
      <c r="Y48" s="41">
        <v>0</v>
      </c>
      <c r="Z48" s="41">
        <v>0</v>
      </c>
      <c r="AA48" s="41">
        <v>17.833333333333336</v>
      </c>
      <c r="AB48" s="48">
        <v>23.833333333333336</v>
      </c>
      <c r="AC48" s="41">
        <v>9.5833333333333339</v>
      </c>
      <c r="AD48" s="48">
        <v>6.4166666666666679</v>
      </c>
      <c r="AE48" s="41">
        <v>13.666666666666666</v>
      </c>
      <c r="AF48" s="16">
        <v>8.0000000000000018</v>
      </c>
      <c r="AG48" s="98">
        <f>SUM(C48:AF48)</f>
        <v>220.58333333333334</v>
      </c>
    </row>
    <row r="49" spans="1:33" x14ac:dyDescent="0.35">
      <c r="A49" s="91"/>
      <c r="B49" s="8" t="s">
        <v>66</v>
      </c>
      <c r="C49" s="41">
        <v>22.75</v>
      </c>
      <c r="D49" s="41">
        <v>23.583333333333332</v>
      </c>
      <c r="E49" s="102">
        <v>23.000000000000004</v>
      </c>
      <c r="F49" s="41">
        <v>22.75</v>
      </c>
      <c r="G49" s="41">
        <v>23.333333333333336</v>
      </c>
      <c r="H49" s="41">
        <v>20.666666666666668</v>
      </c>
      <c r="I49" s="41">
        <v>13.833333333333332</v>
      </c>
      <c r="J49" s="41">
        <v>22.833333333333332</v>
      </c>
      <c r="K49" s="41">
        <v>23.166666666666668</v>
      </c>
      <c r="L49" s="41">
        <v>22</v>
      </c>
      <c r="M49" s="41">
        <v>23.333333333333336</v>
      </c>
      <c r="N49" s="41">
        <v>23.833333333333336</v>
      </c>
      <c r="O49" s="41">
        <v>21.666666666666668</v>
      </c>
      <c r="P49" s="41">
        <v>21.25</v>
      </c>
      <c r="Q49" s="102">
        <v>23.166666666666668</v>
      </c>
      <c r="R49" s="41">
        <v>22.166666666666668</v>
      </c>
      <c r="S49" s="41">
        <v>23.833333333333336</v>
      </c>
      <c r="T49" s="103">
        <v>23.666666666666668</v>
      </c>
      <c r="U49" s="105">
        <v>23.000000000000004</v>
      </c>
      <c r="V49" s="104">
        <v>23.333333333333336</v>
      </c>
      <c r="W49" s="54">
        <v>23.25</v>
      </c>
      <c r="X49" s="48">
        <v>23.583333333333332</v>
      </c>
      <c r="Y49" s="41">
        <v>21.25</v>
      </c>
      <c r="Z49" s="41">
        <v>23.416666666666668</v>
      </c>
      <c r="AA49" s="41">
        <v>22.666666666666668</v>
      </c>
      <c r="AB49" s="48">
        <v>23.833333333333336</v>
      </c>
      <c r="AC49" s="41">
        <v>9.75</v>
      </c>
      <c r="AD49" s="48">
        <v>6.4166666666666679</v>
      </c>
      <c r="AE49" s="41">
        <v>17.500000000000004</v>
      </c>
      <c r="AF49" s="16">
        <v>8.0000000000000018</v>
      </c>
      <c r="AG49" s="98">
        <f>SUM(C49:AF49)</f>
        <v>626.83333333333326</v>
      </c>
    </row>
    <row r="50" spans="1:33" x14ac:dyDescent="0.35">
      <c r="A50" s="91"/>
      <c r="B50" s="8" t="s">
        <v>67</v>
      </c>
      <c r="C50" s="10">
        <v>44834</v>
      </c>
      <c r="D50" s="10">
        <v>66194</v>
      </c>
      <c r="E50" s="10">
        <v>53707</v>
      </c>
      <c r="F50" s="10">
        <v>52620</v>
      </c>
      <c r="G50" s="10">
        <v>54002</v>
      </c>
      <c r="H50" s="10">
        <v>65331</v>
      </c>
      <c r="I50" s="10">
        <v>45411</v>
      </c>
      <c r="J50" s="10">
        <v>59191</v>
      </c>
      <c r="K50" s="10">
        <v>53503</v>
      </c>
      <c r="L50" s="10">
        <v>58116</v>
      </c>
      <c r="M50" s="10">
        <v>64283</v>
      </c>
      <c r="N50" s="10">
        <v>60027</v>
      </c>
      <c r="O50" s="10">
        <v>69548</v>
      </c>
      <c r="P50" s="10">
        <v>70240</v>
      </c>
      <c r="Q50" s="10">
        <v>58471</v>
      </c>
      <c r="R50" s="10">
        <v>52168</v>
      </c>
      <c r="S50" s="10">
        <v>49081</v>
      </c>
      <c r="T50" s="20">
        <v>40339</v>
      </c>
      <c r="U50" s="10">
        <v>60691</v>
      </c>
      <c r="V50" s="12">
        <v>64999</v>
      </c>
      <c r="W50" s="21">
        <v>64364</v>
      </c>
      <c r="X50" s="22">
        <v>85000</v>
      </c>
      <c r="Y50" s="10">
        <v>73000</v>
      </c>
      <c r="Z50" s="10">
        <v>78812</v>
      </c>
      <c r="AA50" s="10">
        <v>80336</v>
      </c>
      <c r="AB50" s="22">
        <v>91982</v>
      </c>
      <c r="AC50" s="10">
        <v>35621</v>
      </c>
      <c r="AD50" s="22">
        <v>31589</v>
      </c>
      <c r="AE50" s="10">
        <v>70723</v>
      </c>
      <c r="AF50" s="16">
        <v>33625</v>
      </c>
      <c r="AG50" s="23">
        <f>SUM(C50:AF50)</f>
        <v>1787808</v>
      </c>
    </row>
    <row r="51" spans="1:33" x14ac:dyDescent="0.35">
      <c r="A51" s="91"/>
      <c r="B51" s="8" t="s">
        <v>68</v>
      </c>
      <c r="C51" s="106">
        <v>3751.9880000000003</v>
      </c>
      <c r="D51" s="106">
        <v>5618.1266666666661</v>
      </c>
      <c r="E51" s="26">
        <v>4485.7533333333331</v>
      </c>
      <c r="F51" s="106">
        <v>3541.14</v>
      </c>
      <c r="G51" s="106">
        <v>3968.8066666666668</v>
      </c>
      <c r="H51" s="106">
        <v>5377.68</v>
      </c>
      <c r="I51" s="106">
        <v>3347.43</v>
      </c>
      <c r="J51" s="106">
        <v>4923.5</v>
      </c>
      <c r="K51" s="106">
        <v>4438.6666666666661</v>
      </c>
      <c r="L51" s="106">
        <v>4237.3916666666664</v>
      </c>
      <c r="M51" s="106">
        <v>4288.0166666666664</v>
      </c>
      <c r="N51" s="106">
        <v>4590.7</v>
      </c>
      <c r="O51" s="106">
        <v>5970.6666666666661</v>
      </c>
      <c r="P51" s="106">
        <v>6015</v>
      </c>
      <c r="Q51" s="26">
        <v>5173.1666666666661</v>
      </c>
      <c r="R51" s="106">
        <v>4304.5</v>
      </c>
      <c r="S51" s="106">
        <v>4405.1666666666661</v>
      </c>
      <c r="T51" s="27">
        <v>3812</v>
      </c>
      <c r="U51" s="106">
        <v>5039.6000000000004</v>
      </c>
      <c r="V51" s="107">
        <v>6088.6666666666661</v>
      </c>
      <c r="W51" s="108">
        <v>5307.8466666666664</v>
      </c>
      <c r="X51" s="109">
        <v>7397</v>
      </c>
      <c r="Y51" s="10">
        <v>6086</v>
      </c>
      <c r="Z51" s="10">
        <v>6170</v>
      </c>
      <c r="AA51" s="10">
        <v>6627.8916666666664</v>
      </c>
      <c r="AB51" s="22">
        <v>7601</v>
      </c>
      <c r="AC51" s="10">
        <v>3096.4</v>
      </c>
      <c r="AD51" s="22">
        <v>2851</v>
      </c>
      <c r="AE51" s="10">
        <v>6258</v>
      </c>
      <c r="AF51" s="16">
        <v>3033</v>
      </c>
      <c r="AG51" s="23">
        <f>SUM(C51:AF51)</f>
        <v>147806.10466666665</v>
      </c>
    </row>
    <row r="52" spans="1:33" ht="15.5" x14ac:dyDescent="0.35">
      <c r="A52" s="91"/>
      <c r="B52" s="8" t="s">
        <v>69</v>
      </c>
      <c r="C52" s="41">
        <v>11.949398558844004</v>
      </c>
      <c r="D52" s="41">
        <v>11.782219221353738</v>
      </c>
      <c r="E52" s="102">
        <v>11.972793867399457</v>
      </c>
      <c r="F52" s="41">
        <v>14.859621477829174</v>
      </c>
      <c r="G52" s="41">
        <v>13.606608871516375</v>
      </c>
      <c r="H52" s="41">
        <v>12.148547328959699</v>
      </c>
      <c r="I52" s="41">
        <v>13.565929683369033</v>
      </c>
      <c r="J52" s="41">
        <v>12.022138722453539</v>
      </c>
      <c r="K52" s="41">
        <v>12.053844998498048</v>
      </c>
      <c r="L52" s="41">
        <v>13.715040895834113</v>
      </c>
      <c r="M52" s="41">
        <v>14.99131300018268</v>
      </c>
      <c r="N52" s="41">
        <v>13.075783649552356</v>
      </c>
      <c r="O52" s="41">
        <v>11.648280482358198</v>
      </c>
      <c r="P52" s="41">
        <v>11.677472984206151</v>
      </c>
      <c r="Q52" s="102">
        <v>11.302748155546249</v>
      </c>
      <c r="R52" s="41">
        <v>12.119409919851318</v>
      </c>
      <c r="S52" s="41">
        <v>11.14168968256971</v>
      </c>
      <c r="T52" s="110">
        <v>10.582109129066106</v>
      </c>
      <c r="U52" s="41">
        <v>12.042820858798317</v>
      </c>
      <c r="V52" s="111">
        <v>10.675407861600789</v>
      </c>
      <c r="W52" s="54">
        <v>12.126198069022342</v>
      </c>
      <c r="X52" s="48">
        <v>11.491145058807625</v>
      </c>
      <c r="Y52" s="41">
        <v>11.994742030890569</v>
      </c>
      <c r="Z52" s="41">
        <v>12.773419773095624</v>
      </c>
      <c r="AA52" s="41">
        <v>12.120898174004555</v>
      </c>
      <c r="AB52" s="48">
        <v>12.101302460202605</v>
      </c>
      <c r="AC52" s="41">
        <v>11.504004650561942</v>
      </c>
      <c r="AD52" s="48">
        <v>11.07997193967029</v>
      </c>
      <c r="AE52" s="41">
        <v>11.301214445509748</v>
      </c>
      <c r="AF52" s="16">
        <v>11.086383119024068</v>
      </c>
      <c r="AG52" s="112">
        <f>+AG50/AG51</f>
        <v>12.095630312644237</v>
      </c>
    </row>
    <row r="53" spans="1:33" x14ac:dyDescent="0.35">
      <c r="A53" s="91"/>
      <c r="B53" s="8" t="s">
        <v>70</v>
      </c>
      <c r="C53" s="76">
        <v>19527.340000000004</v>
      </c>
      <c r="D53" s="76">
        <v>9743.2399999999925</v>
      </c>
      <c r="E53" s="10">
        <v>12052.539999999999</v>
      </c>
      <c r="F53" s="76">
        <v>10117.980000000018</v>
      </c>
      <c r="G53" s="76">
        <v>12366.419999999969</v>
      </c>
      <c r="H53" s="76">
        <v>0</v>
      </c>
      <c r="I53" s="76">
        <v>0</v>
      </c>
      <c r="J53" s="76">
        <v>0</v>
      </c>
      <c r="K53" s="76">
        <v>12347.279999999992</v>
      </c>
      <c r="L53" s="76">
        <v>4852.4800000000178</v>
      </c>
      <c r="M53" s="76">
        <v>3372.6599999999949</v>
      </c>
      <c r="N53" s="76">
        <v>8244.2799999999916</v>
      </c>
      <c r="O53" s="76">
        <v>80.86000000002241</v>
      </c>
      <c r="P53" s="76">
        <v>60.859999999989668</v>
      </c>
      <c r="Q53" s="10">
        <v>8244.2799999999916</v>
      </c>
      <c r="R53" s="76">
        <v>9449.3600000000206</v>
      </c>
      <c r="S53" s="76">
        <v>12012.539999999999</v>
      </c>
      <c r="T53" s="20">
        <v>14614.859999999988</v>
      </c>
      <c r="U53" s="10">
        <v>2997.9200000000028</v>
      </c>
      <c r="V53" s="12">
        <v>8619.0199999999822</v>
      </c>
      <c r="W53" s="80">
        <v>5561.9600000000028</v>
      </c>
      <c r="X53" s="81">
        <v>20.86000000002241</v>
      </c>
      <c r="Y53" s="41">
        <v>6331.4399999999841</v>
      </c>
      <c r="Z53" s="76">
        <v>0.86000000000422006</v>
      </c>
      <c r="AA53" s="76">
        <v>0</v>
      </c>
      <c r="AB53" s="81">
        <v>3372.6599999999949</v>
      </c>
      <c r="AC53" s="76">
        <v>4496.8800000000037</v>
      </c>
      <c r="AD53" s="81">
        <v>-19.13999999999578</v>
      </c>
      <c r="AE53" s="76">
        <v>7910.4000000000033</v>
      </c>
      <c r="AF53" s="16">
        <v>2248.4399999999855</v>
      </c>
      <c r="AG53" s="23">
        <f>SUM(C53:AF53)</f>
        <v>178628.27999999997</v>
      </c>
    </row>
    <row r="54" spans="1:33" x14ac:dyDescent="0.35">
      <c r="A54" s="91"/>
      <c r="B54" s="8" t="s">
        <v>71</v>
      </c>
      <c r="C54" s="76">
        <v>1763.75</v>
      </c>
      <c r="D54" s="76">
        <v>929.33333333333337</v>
      </c>
      <c r="E54" s="26">
        <v>1073.9166666666667</v>
      </c>
      <c r="F54" s="76">
        <v>790</v>
      </c>
      <c r="G54" s="76">
        <v>913.33333333333326</v>
      </c>
      <c r="H54" s="76">
        <v>0</v>
      </c>
      <c r="I54" s="76">
        <v>0</v>
      </c>
      <c r="J54" s="76">
        <v>0</v>
      </c>
      <c r="K54" s="76">
        <v>1096</v>
      </c>
      <c r="L54" s="76">
        <v>391.05</v>
      </c>
      <c r="M54" s="76">
        <v>202.25</v>
      </c>
      <c r="N54" s="76">
        <v>636.79999999999995</v>
      </c>
      <c r="O54" s="76">
        <v>0</v>
      </c>
      <c r="P54" s="76">
        <v>0</v>
      </c>
      <c r="Q54" s="26">
        <v>742</v>
      </c>
      <c r="R54" s="76">
        <v>858</v>
      </c>
      <c r="S54" s="76">
        <v>1187.5</v>
      </c>
      <c r="T54" s="27">
        <v>1349</v>
      </c>
      <c r="U54" s="76">
        <v>278.39999999999998</v>
      </c>
      <c r="V54" s="107">
        <v>832</v>
      </c>
      <c r="W54" s="80">
        <v>502.32</v>
      </c>
      <c r="X54" s="81">
        <v>0</v>
      </c>
      <c r="Y54" s="41">
        <v>561</v>
      </c>
      <c r="Z54" s="76">
        <v>0</v>
      </c>
      <c r="AA54" s="76">
        <v>0</v>
      </c>
      <c r="AB54" s="81">
        <v>300</v>
      </c>
      <c r="AC54" s="76">
        <v>395.6</v>
      </c>
      <c r="AD54" s="81">
        <v>0</v>
      </c>
      <c r="AE54" s="76">
        <v>729</v>
      </c>
      <c r="AF54" s="16">
        <v>208</v>
      </c>
      <c r="AG54" s="23">
        <f>SUM(C54:AF54)</f>
        <v>15739.253333333334</v>
      </c>
    </row>
    <row r="55" spans="1:33" ht="15.5" x14ac:dyDescent="0.35">
      <c r="A55" s="91"/>
      <c r="B55" s="8" t="s">
        <v>72</v>
      </c>
      <c r="C55" s="41">
        <v>11.071489723600285</v>
      </c>
      <c r="D55" s="41">
        <v>10.484117647058815</v>
      </c>
      <c r="E55" s="102">
        <v>11.222975091177153</v>
      </c>
      <c r="F55" s="41">
        <v>12.807569620253187</v>
      </c>
      <c r="G55" s="41">
        <v>13.539875912408727</v>
      </c>
      <c r="H55" s="41" t="e">
        <v>#DIV/0!</v>
      </c>
      <c r="I55" s="41" t="e">
        <v>#DIV/0!</v>
      </c>
      <c r="J55" s="41" t="e">
        <v>#DIV/0!</v>
      </c>
      <c r="K55" s="41">
        <v>11.265766423357656</v>
      </c>
      <c r="L55" s="41">
        <v>12.408847973404981</v>
      </c>
      <c r="M55" s="41">
        <v>16.675698393077848</v>
      </c>
      <c r="N55" s="41">
        <v>12.946419597989937</v>
      </c>
      <c r="O55" s="41" t="e">
        <v>#DIV/0!</v>
      </c>
      <c r="P55" s="41" t="e">
        <v>#DIV/0!</v>
      </c>
      <c r="Q55" s="102">
        <v>11.110889487870608</v>
      </c>
      <c r="R55" s="92">
        <v>11.013240093240118</v>
      </c>
      <c r="S55" s="92">
        <v>10.115823157894736</v>
      </c>
      <c r="T55" s="110">
        <v>10.83384729429206</v>
      </c>
      <c r="U55" s="92">
        <v>10.768390804597711</v>
      </c>
      <c r="V55" s="111">
        <v>10.359399038461516</v>
      </c>
      <c r="W55" s="113">
        <v>11.07254339863036</v>
      </c>
      <c r="X55" s="81" t="e">
        <v>#DIV/0!</v>
      </c>
      <c r="Y55" s="41">
        <v>11.285989304812807</v>
      </c>
      <c r="Z55" s="41">
        <v>0</v>
      </c>
      <c r="AA55" s="41">
        <v>0</v>
      </c>
      <c r="AB55" s="48">
        <v>11.242199999999983</v>
      </c>
      <c r="AC55" s="41">
        <v>11.367239635995965</v>
      </c>
      <c r="AD55" s="48" t="e">
        <v>#DIV/0!</v>
      </c>
      <c r="AE55" s="41">
        <v>10.851028806584367</v>
      </c>
      <c r="AF55" s="16">
        <v>10.809807692307622</v>
      </c>
      <c r="AG55" s="98">
        <f>+AG53/AG54</f>
        <v>11.349221987658879</v>
      </c>
    </row>
    <row r="56" spans="1:33" x14ac:dyDescent="0.35">
      <c r="A56" s="91"/>
      <c r="B56" s="8" t="s">
        <v>73</v>
      </c>
      <c r="C56" s="76">
        <v>36620</v>
      </c>
      <c r="D56" s="76">
        <v>29332.630000000008</v>
      </c>
      <c r="E56" s="10">
        <v>39351.12000000001</v>
      </c>
      <c r="F56" s="76">
        <v>40857.519999999997</v>
      </c>
      <c r="G56" s="76">
        <v>41786.1</v>
      </c>
      <c r="H56" s="76">
        <v>31060.970000000008</v>
      </c>
      <c r="I56" s="76">
        <v>23165.679999999997</v>
      </c>
      <c r="J56" s="76">
        <v>32702.66</v>
      </c>
      <c r="K56" s="76">
        <v>28295.769999999997</v>
      </c>
      <c r="L56" s="76">
        <v>27808.160000000003</v>
      </c>
      <c r="M56" s="76">
        <v>29250.269999999997</v>
      </c>
      <c r="N56" s="76">
        <v>29714.560000000005</v>
      </c>
      <c r="O56" s="11">
        <v>24098.369999999992</v>
      </c>
      <c r="P56" s="76">
        <v>20428.759999999998</v>
      </c>
      <c r="Q56" s="10">
        <v>27128.34</v>
      </c>
      <c r="R56" s="76">
        <v>30178.849999999995</v>
      </c>
      <c r="S56" s="76">
        <v>35926.47</v>
      </c>
      <c r="T56" s="20">
        <v>44571.840000000011</v>
      </c>
      <c r="U56" s="76">
        <v>13928.699999999992</v>
      </c>
      <c r="V56" s="12">
        <v>24423.730000000003</v>
      </c>
      <c r="W56" s="80">
        <v>29870.029999999992</v>
      </c>
      <c r="X56" s="81">
        <v>11939.640000000007</v>
      </c>
      <c r="Y56" s="76">
        <v>6500.0599999999959</v>
      </c>
      <c r="Z56" s="76">
        <v>19964.470000000008</v>
      </c>
      <c r="AA56" s="76">
        <v>26928.819999999992</v>
      </c>
      <c r="AB56" s="81">
        <v>19035.890000000007</v>
      </c>
      <c r="AC56" s="76">
        <v>1063.6299999999901</v>
      </c>
      <c r="AD56" s="81">
        <v>0</v>
      </c>
      <c r="AE56" s="76">
        <v>0</v>
      </c>
      <c r="AF56" s="16">
        <v>0</v>
      </c>
      <c r="AG56" s="23">
        <f>SUM(C56:AF56)</f>
        <v>725933.0399999998</v>
      </c>
    </row>
    <row r="57" spans="1:33" x14ac:dyDescent="0.35">
      <c r="A57" s="91"/>
      <c r="B57" s="8" t="s">
        <v>74</v>
      </c>
      <c r="C57" s="76">
        <v>3281.2619999999997</v>
      </c>
      <c r="D57" s="76">
        <v>2805.54</v>
      </c>
      <c r="E57" s="26">
        <v>3459.33</v>
      </c>
      <c r="F57" s="76">
        <v>2848.86</v>
      </c>
      <c r="G57" s="76">
        <v>2848.86</v>
      </c>
      <c r="H57" s="76">
        <v>2731.3199999999997</v>
      </c>
      <c r="I57" s="76">
        <v>1659.5700000000002</v>
      </c>
      <c r="J57" s="76">
        <v>2890.5</v>
      </c>
      <c r="K57" s="76">
        <v>1913.3333333333335</v>
      </c>
      <c r="L57" s="76">
        <v>1904.5583333333336</v>
      </c>
      <c r="M57" s="76">
        <v>1833.7333333333336</v>
      </c>
      <c r="N57" s="76">
        <v>2156.5</v>
      </c>
      <c r="O57" s="76">
        <v>2383.3333333333335</v>
      </c>
      <c r="P57" s="76">
        <v>1833</v>
      </c>
      <c r="Q57" s="26">
        <v>2499.8333333333335</v>
      </c>
      <c r="R57" s="76">
        <v>2660.5000000000005</v>
      </c>
      <c r="S57" s="76">
        <v>3254.3333333333339</v>
      </c>
      <c r="T57" s="27">
        <v>4118</v>
      </c>
      <c r="U57" s="76">
        <v>1242.0000000000002</v>
      </c>
      <c r="V57" s="107">
        <v>2273.3333333333335</v>
      </c>
      <c r="W57" s="80">
        <v>2645.8333333333335</v>
      </c>
      <c r="X57" s="81">
        <v>1113</v>
      </c>
      <c r="Y57" s="76">
        <v>583</v>
      </c>
      <c r="Z57" s="76">
        <v>1764</v>
      </c>
      <c r="AA57" s="76">
        <v>2367.1083333333336</v>
      </c>
      <c r="AB57" s="81">
        <v>1690</v>
      </c>
      <c r="AC57" s="76">
        <v>98</v>
      </c>
      <c r="AD57" s="81">
        <v>0</v>
      </c>
      <c r="AE57" s="76">
        <v>0</v>
      </c>
      <c r="AF57" s="16">
        <v>0</v>
      </c>
      <c r="AG57" s="23">
        <f>SUM(C57:AF57)</f>
        <v>60858.642000000007</v>
      </c>
    </row>
    <row r="58" spans="1:33" ht="15.5" x14ac:dyDescent="0.35">
      <c r="A58" s="91"/>
      <c r="B58" s="8" t="s">
        <v>75</v>
      </c>
      <c r="C58" s="48">
        <v>11.160340137422736</v>
      </c>
      <c r="D58" s="48">
        <v>10.455252821203764</v>
      </c>
      <c r="E58" s="41">
        <v>11.375358812255556</v>
      </c>
      <c r="F58" s="48">
        <v>14.341708613269867</v>
      </c>
      <c r="G58" s="48">
        <v>14.667656536298729</v>
      </c>
      <c r="H58" s="48">
        <v>11.372146068567583</v>
      </c>
      <c r="I58" s="48">
        <v>13.958844760992301</v>
      </c>
      <c r="J58" s="48">
        <v>11.313841895865767</v>
      </c>
      <c r="K58" s="48">
        <v>14.788729965156792</v>
      </c>
      <c r="L58" s="48">
        <v>14.600844465252223</v>
      </c>
      <c r="M58" s="48">
        <v>15.9512124627354</v>
      </c>
      <c r="N58" s="48">
        <v>13.779067934152565</v>
      </c>
      <c r="O58" s="48">
        <v>10.111204195804191</v>
      </c>
      <c r="P58" s="48">
        <v>11.144986361156572</v>
      </c>
      <c r="Q58" s="41">
        <v>10.852059470631374</v>
      </c>
      <c r="R58" s="48">
        <v>11.343300131554216</v>
      </c>
      <c r="S58" s="48">
        <v>11.039579022841338</v>
      </c>
      <c r="T58" s="110">
        <v>10.823661971830989</v>
      </c>
      <c r="U58" s="41">
        <v>11.2147342995169</v>
      </c>
      <c r="V58" s="111">
        <v>10.743576246334312</v>
      </c>
      <c r="W58" s="54">
        <v>11.289460157480312</v>
      </c>
      <c r="X58" s="48">
        <v>10.727439353099737</v>
      </c>
      <c r="Y58" s="92">
        <v>11.149331046312172</v>
      </c>
      <c r="Z58" s="92">
        <v>11.31772675736962</v>
      </c>
      <c r="AA58" s="92">
        <v>11.376251615015503</v>
      </c>
      <c r="AB58" s="114">
        <v>11.263840236686395</v>
      </c>
      <c r="AC58" s="92">
        <v>10.853367346938674</v>
      </c>
      <c r="AD58" s="114" t="e">
        <v>#DIV/0!</v>
      </c>
      <c r="AE58" s="92" t="e">
        <v>#DIV/0!</v>
      </c>
      <c r="AF58" s="16" t="e">
        <v>#DIV/0!</v>
      </c>
      <c r="AG58" s="98">
        <f>+AG56/AG57</f>
        <v>11.928183346582063</v>
      </c>
    </row>
    <row r="59" spans="1:33" x14ac:dyDescent="0.35">
      <c r="A59" s="91"/>
      <c r="B59" s="8" t="s">
        <v>76</v>
      </c>
      <c r="C59" s="10">
        <v>115492.86597703763</v>
      </c>
      <c r="D59" s="10">
        <v>110031.85806693038</v>
      </c>
      <c r="E59" s="26">
        <v>115831.37010755074</v>
      </c>
      <c r="F59" s="10">
        <v>143347.83788300838</v>
      </c>
      <c r="G59" s="10">
        <v>139251.64674686323</v>
      </c>
      <c r="H59" s="10">
        <v>114958.8082994204</v>
      </c>
      <c r="I59" s="10">
        <v>132731.35749950071</v>
      </c>
      <c r="J59" s="10">
        <v>114244.61044279499</v>
      </c>
      <c r="K59" s="10">
        <v>124785.67568474756</v>
      </c>
      <c r="L59" s="10">
        <v>135389.6702893005</v>
      </c>
      <c r="M59" s="10">
        <v>148719.1978969007</v>
      </c>
      <c r="N59" s="10">
        <v>129957.41048212349</v>
      </c>
      <c r="O59" s="10">
        <v>107571.81080919321</v>
      </c>
      <c r="P59" s="10">
        <v>110362.33409785932</v>
      </c>
      <c r="Q59" s="26">
        <v>109081.78609625668</v>
      </c>
      <c r="R59" s="10">
        <v>115689.67550811711</v>
      </c>
      <c r="S59" s="10">
        <v>109111.41533853284</v>
      </c>
      <c r="T59" s="27">
        <v>108228.59564608255</v>
      </c>
      <c r="U59" s="10">
        <v>113033.34268292681</v>
      </c>
      <c r="V59" s="107">
        <v>103754.11338916683</v>
      </c>
      <c r="W59" s="21">
        <v>114932.64764664143</v>
      </c>
      <c r="X59" s="22">
        <v>107250.01903642778</v>
      </c>
      <c r="Y59" s="10">
        <v>112543.63388658364</v>
      </c>
      <c r="Z59" s="10">
        <v>118462.57304008068</v>
      </c>
      <c r="AA59" s="10">
        <v>114224.35341856586</v>
      </c>
      <c r="AB59" s="22">
        <v>113547.84125742884</v>
      </c>
      <c r="AC59" s="10">
        <v>108715.34526462395</v>
      </c>
      <c r="AD59" s="22">
        <v>102449.1325850579</v>
      </c>
      <c r="AE59" s="10">
        <v>106113.39902676399</v>
      </c>
      <c r="AF59" s="16">
        <v>103630.04165381049</v>
      </c>
      <c r="AG59" s="23">
        <f>SUM(C59:AF59)</f>
        <v>3503444.3697602986</v>
      </c>
    </row>
    <row r="60" spans="1:33" x14ac:dyDescent="0.35">
      <c r="A60" s="91"/>
      <c r="B60" s="8" t="s">
        <v>77</v>
      </c>
      <c r="C60" s="10">
        <v>35412</v>
      </c>
      <c r="D60" s="10">
        <v>35269</v>
      </c>
      <c r="E60" s="10">
        <v>34607</v>
      </c>
      <c r="F60" s="10">
        <v>34710</v>
      </c>
      <c r="G60" s="10">
        <v>35681</v>
      </c>
      <c r="H60" s="10">
        <v>33427</v>
      </c>
      <c r="I60" s="10">
        <v>23186</v>
      </c>
      <c r="J60" s="10">
        <v>31555</v>
      </c>
      <c r="K60" s="10">
        <v>30363</v>
      </c>
      <c r="L60" s="10">
        <v>28622</v>
      </c>
      <c r="M60" s="10">
        <v>29278</v>
      </c>
      <c r="N60" s="10">
        <v>28869</v>
      </c>
      <c r="O60" s="10">
        <v>28395</v>
      </c>
      <c r="P60" s="10">
        <v>29477</v>
      </c>
      <c r="Q60" s="10">
        <v>30532</v>
      </c>
      <c r="R60" s="10">
        <v>30397</v>
      </c>
      <c r="S60" s="10">
        <v>31151</v>
      </c>
      <c r="T60" s="20">
        <v>32363</v>
      </c>
      <c r="U60" s="10">
        <v>26483</v>
      </c>
      <c r="V60" s="12">
        <v>29925</v>
      </c>
      <c r="W60" s="21">
        <v>31068</v>
      </c>
      <c r="X60" s="22">
        <v>29954</v>
      </c>
      <c r="Y60" s="10">
        <v>27123</v>
      </c>
      <c r="Z60" s="10">
        <v>29695</v>
      </c>
      <c r="AA60" s="10">
        <v>32187</v>
      </c>
      <c r="AB60" s="22">
        <v>31843</v>
      </c>
      <c r="AC60" s="10">
        <v>14880</v>
      </c>
      <c r="AD60" s="22">
        <v>11280</v>
      </c>
      <c r="AE60" s="10">
        <v>22357</v>
      </c>
      <c r="AF60" s="16">
        <v>12834</v>
      </c>
      <c r="AG60" s="23">
        <f>SUM(C60:AF60)</f>
        <v>862923</v>
      </c>
    </row>
    <row r="61" spans="1:33" ht="15.5" x14ac:dyDescent="0.35">
      <c r="A61" s="91"/>
      <c r="B61" s="8" t="s">
        <v>78</v>
      </c>
      <c r="C61" s="41">
        <v>4.0254632260998067</v>
      </c>
      <c r="D61" s="41">
        <v>3.7708756548700952</v>
      </c>
      <c r="E61" s="41">
        <v>3.8371216321099899</v>
      </c>
      <c r="F61" s="41">
        <v>4.8342618384401117</v>
      </c>
      <c r="G61" s="41">
        <v>4.6153149657224164</v>
      </c>
      <c r="H61" s="41">
        <v>4.1222098902454061</v>
      </c>
      <c r="I61" s="41">
        <v>4.6307169962053125</v>
      </c>
      <c r="J61" s="41">
        <v>4.0382646531865882</v>
      </c>
      <c r="K61" s="41">
        <v>4.0766648764769062</v>
      </c>
      <c r="L61" s="41">
        <v>4.3811418949946423</v>
      </c>
      <c r="M61" s="41">
        <v>4.62966476913346</v>
      </c>
      <c r="N61" s="41">
        <v>3.9096695557963161</v>
      </c>
      <c r="O61" s="41">
        <v>3.3989705530284895</v>
      </c>
      <c r="P61" s="41">
        <v>3.7559887869520896</v>
      </c>
      <c r="Q61" s="102">
        <v>3.6282828282828281</v>
      </c>
      <c r="R61" s="41">
        <v>3.8855937619838938</v>
      </c>
      <c r="S61" s="41">
        <v>3.5210805922911721</v>
      </c>
      <c r="T61" s="110">
        <v>3.4877680784567304</v>
      </c>
      <c r="U61" s="41">
        <v>4.0370426829268293</v>
      </c>
      <c r="V61" s="111">
        <v>3.2548401131172504</v>
      </c>
      <c r="W61" s="54">
        <v>3.6740775780510879</v>
      </c>
      <c r="X61" s="48">
        <v>3.5198589894242067</v>
      </c>
      <c r="Y61" s="41">
        <v>3.7514522821576763</v>
      </c>
      <c r="Z61" s="41">
        <v>3.7427527098563145</v>
      </c>
      <c r="AA61" s="41">
        <v>3.5783212896053365</v>
      </c>
      <c r="AB61" s="48">
        <v>3.3200917526848088</v>
      </c>
      <c r="AC61" s="41">
        <v>4.1448467966573812</v>
      </c>
      <c r="AD61" s="48">
        <v>3.9565064889512453</v>
      </c>
      <c r="AE61" s="41">
        <v>3.1997996278803491</v>
      </c>
      <c r="AF61" s="16">
        <v>3.9598889231718606</v>
      </c>
      <c r="AG61" s="98">
        <f>AG60/AG31</f>
        <v>3.8453993689952051</v>
      </c>
    </row>
    <row r="62" spans="1:33" x14ac:dyDescent="0.35">
      <c r="A62" s="91" t="s">
        <v>17</v>
      </c>
      <c r="B62" s="115" t="s">
        <v>79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76">
        <v>0</v>
      </c>
      <c r="L62" s="76">
        <v>0</v>
      </c>
      <c r="M62" s="76">
        <v>0</v>
      </c>
      <c r="N62" s="76">
        <v>0</v>
      </c>
      <c r="O62" s="76">
        <v>0</v>
      </c>
      <c r="P62" s="10">
        <v>0</v>
      </c>
      <c r="Q62" s="10">
        <v>0</v>
      </c>
      <c r="R62" s="10">
        <v>0</v>
      </c>
      <c r="S62" s="10">
        <v>0</v>
      </c>
      <c r="T62" s="20">
        <v>0</v>
      </c>
      <c r="U62" s="10">
        <v>0</v>
      </c>
      <c r="V62" s="12">
        <v>0</v>
      </c>
      <c r="W62" s="21">
        <v>0</v>
      </c>
      <c r="X62" s="22">
        <v>0</v>
      </c>
      <c r="Y62" s="10">
        <v>0</v>
      </c>
      <c r="Z62" s="10">
        <v>0</v>
      </c>
      <c r="AA62" s="10">
        <v>0</v>
      </c>
      <c r="AB62" s="22">
        <v>0</v>
      </c>
      <c r="AC62" s="10">
        <v>0</v>
      </c>
      <c r="AD62" s="81">
        <v>0</v>
      </c>
      <c r="AE62" s="10">
        <v>0</v>
      </c>
      <c r="AF62" s="16">
        <v>0</v>
      </c>
      <c r="AG62" s="116">
        <f>SUM(C62:AF62)</f>
        <v>0</v>
      </c>
    </row>
    <row r="63" spans="1:33" x14ac:dyDescent="0.35">
      <c r="A63" s="91"/>
      <c r="B63" s="115" t="s">
        <v>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76">
        <v>0</v>
      </c>
      <c r="L63" s="76">
        <v>0</v>
      </c>
      <c r="M63" s="76">
        <v>0</v>
      </c>
      <c r="N63" s="76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20">
        <v>0</v>
      </c>
      <c r="U63" s="10">
        <v>0</v>
      </c>
      <c r="V63" s="16">
        <v>0</v>
      </c>
      <c r="W63" s="21">
        <v>0</v>
      </c>
      <c r="X63" s="15">
        <v>0</v>
      </c>
      <c r="Y63" s="10">
        <v>0</v>
      </c>
      <c r="Z63" s="10">
        <v>0</v>
      </c>
      <c r="AA63" s="10">
        <v>0</v>
      </c>
      <c r="AB63" s="22">
        <v>0</v>
      </c>
      <c r="AC63" s="10">
        <v>0</v>
      </c>
      <c r="AD63" s="81">
        <v>0</v>
      </c>
      <c r="AE63" s="10">
        <v>0</v>
      </c>
      <c r="AF63" s="16">
        <v>0</v>
      </c>
      <c r="AG63" s="116">
        <f>(0.84*AG6)-AG62</f>
        <v>227671.08</v>
      </c>
    </row>
  </sheetData>
  <mergeCells count="6">
    <mergeCell ref="AG2:AG3"/>
    <mergeCell ref="A6:A15"/>
    <mergeCell ref="A16:A21"/>
    <mergeCell ref="A22:A36"/>
    <mergeCell ref="A37:A61"/>
    <mergeCell ref="A62:A63"/>
  </mergeCells>
  <conditionalFormatting sqref="C2:AF2">
    <cfRule type="expression" dxfId="0" priority="1">
      <formula>OR(+C$6="dim")</formula>
    </cfRule>
  </conditionalFormatting>
  <dataValidations count="1">
    <dataValidation type="list" showInputMessage="1" showErrorMessage="1" sqref="AF3 V3 Q3 T3">
      <formula1>"G10 MC,G10 MP,MC&amp;MP,TBT,BG10,BG11,BGAD,BG22, ,Arrêt,MC&amp;BG22:"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2026-07-09T10:21:09Z</dcterms:created>
  <dcterms:modified xsi:type="dcterms:W3CDTF">2026-07-09T10:29:27Z</dcterms:modified>
</cp:coreProperties>
</file>